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Como usar" sheetId="2" state="visible" r:id="rId2"/>
    <sheet name="Resumo" sheetId="3" state="visible" r:id="rId3"/>
    <sheet name="Mensagens" sheetId="4" state="visible" r:id="rId4"/>
  </sheets>
  <definedNames>
    <definedName name="_xlnm._FilterDatabase" localSheetId="0" hidden="1">'Leads'!$A$1:$U$234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&quot;R$&quot; #,##0.00"/>
    <numFmt numFmtId="167" formatCode="DD/MM/YYYY"/>
    <numFmt numFmtId="168" formatCode="&quot;R$&quot; #,##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</font>
    <font>
      <name val="Arial"/>
      <b val="1"/>
      <color rgb="000000FF"/>
    </font>
    <font>
      <name val="Arial"/>
      <b val="1"/>
      <sz val="10"/>
    </font>
    <font>
      <name val="Arial"/>
      <sz val="10"/>
    </font>
    <font>
      <name val="Arial"/>
      <color rgb="000000FF"/>
    </font>
    <font>
      <name val="Arial"/>
      <b val="1"/>
      <color rgb="00FFFFFF"/>
    </font>
    <font>
      <name val="Arial"/>
      <color rgb="000563C1"/>
      <sz val="10"/>
      <u val="single"/>
    </font>
    <font>
      <name val="Arial"/>
      <b val="1"/>
      <sz val="13"/>
    </font>
    <font>
      <name val="Arial"/>
      <color theme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pivotButton="0" quotePrefix="0" xfId="0"/>
    <xf numFmtId="0" fontId="9" fillId="0" borderId="1" pivotButton="0" quotePrefix="0" xfId="0"/>
    <xf numFmtId="165" fontId="6" fillId="2" borderId="1" pivotButton="0" quotePrefix="0" xfId="0"/>
    <xf numFmtId="1" fontId="6" fillId="2" borderId="1" pivotButton="0" quotePrefix="0" xfId="0"/>
    <xf numFmtId="0" fontId="6" fillId="2" borderId="1" pivotButton="0" quotePrefix="0" xfId="0"/>
    <xf numFmtId="166" fontId="6" fillId="2" borderId="1" pivotButton="0" quotePrefix="0" xfId="0"/>
    <xf numFmtId="166" fontId="6" fillId="0" borderId="1" pivotButton="0" quotePrefix="0" xfId="0"/>
    <xf numFmtId="167" fontId="6" fillId="2" borderId="1" pivotButton="0" quotePrefix="0" xfId="0"/>
    <xf numFmtId="0" fontId="6" fillId="2" borderId="1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164" fontId="4" fillId="2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164" fontId="11" fillId="0" borderId="0" pivotButton="0" quotePrefix="0" xfId="0"/>
    <xf numFmtId="168" fontId="4" fillId="2" borderId="0" pivotButton="0" quotePrefix="0" xfId="0"/>
    <xf numFmtId="168" fontId="11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C6" authorId="0" shapeId="0">
      <text>
        <t>Plano Básico do iFood: 12% de comissão + 3,2% de pagamento online = 15,2% (o mais baixo). Plano Entrega chega a ~26%. Fonte: blog-parceiros.ifood.com.br/taxas-ifood e brendi.com.br/blog/taxa-ifood-restaurantes-delivery-2026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12" authorId="0" shapeId="0">
      <text>
        <t>Preço sugerido do pacote "Pedido Direto". Edite se mudar a oferta.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food.com.br/delivery/rio-branco-ac/imperium-hamburgueria-nova-esperanca/c3193de2-ff8e-4662-937c-7fbfc9783bcb" TargetMode="External" Id="rId1" /><Relationship Type="http://schemas.openxmlformats.org/officeDocument/2006/relationships/hyperlink" Target="https://www.ifood.com.br/delivery/maceio-al/alpha-burgers---hamburgueria-artesanal-barro-duro/65d2478c-e024-4f63-a22d-6f0bfce80ee2" TargetMode="External" Id="rId2" /><Relationship Type="http://schemas.openxmlformats.org/officeDocument/2006/relationships/hyperlink" Target="https://www.ifood.com.br/delivery/maceio-al/hamburgueria-johnny-smash-burger-ponta-verde/703a35df-5751-46b7-af12-e915509ab7a5" TargetMode="External" Id="rId3" /><Relationship Type="http://schemas.openxmlformats.org/officeDocument/2006/relationships/hyperlink" Target="https://www.ifood.com.br/delivery/maceio-al/mania-smash---hamburgueria-jacintinho/d86718e0-cf2c-4189-b9c7-286f3015c808" TargetMode="External" Id="rId4" /><Relationship Type="http://schemas.openxmlformats.org/officeDocument/2006/relationships/hyperlink" Target="https://www.ifood.com.br/delivery/maceio-al/podrao-sandubaria---sanduiche-e-passaporte-jatiuca/cfe75d80-79bb-4d55-8350-4a6c089eaf9d" TargetMode="External" Id="rId5" /><Relationship Type="http://schemas.openxmlformats.org/officeDocument/2006/relationships/hyperlink" Target="https://www.ifood.com.br/delivery/maceio-al/rocca-burger-jatiuca/c06b1795-03ae-4829-a2e9-4e3c1cc72b48" TargetMode="External" Id="rId6" /><Relationship Type="http://schemas.openxmlformats.org/officeDocument/2006/relationships/hyperlink" Target="https://www.ifood.com.br/delivery/maceio-al/rustik-express-burguer--restaurante-poco/d8270209-f565-4ea6-800f-833a04f09831" TargetMode="External" Id="rId7" /><Relationship Type="http://schemas.openxmlformats.org/officeDocument/2006/relationships/hyperlink" Target="https://www.ifood.com.br/delivery/maceio-al/burguer---rustik-hamburgueria-pajucara/df7327ba-5030-4d69-a897-5d0557453815" TargetMode="External" Id="rId8" /><Relationship Type="http://schemas.openxmlformats.org/officeDocument/2006/relationships/hyperlink" Target="https://www.ifood.com.br/delivery/manaus-am/bbq-burguer--manaus-cidade-nova/a5722ffa-ca19-4bb0-8313-a2240ec0fe23" TargetMode="External" Id="rId9" /><Relationship Type="http://schemas.openxmlformats.org/officeDocument/2006/relationships/hyperlink" Target="https://www.ifood.com.br/delivery/manaus-am/burgers--burgers-adrianopolis/24369207-1668-41a3-be20-8f9d71355b8d" TargetMode="External" Id="rId10" /><Relationship Type="http://schemas.openxmlformats.org/officeDocument/2006/relationships/hyperlink" Target="https://www.ifood.com.br/delivery/manaus-am/domes-burgers---planalto-planalto/1769e6cb-b11d-4e7a-ba45-9cfb30af8104" TargetMode="External" Id="rId11" /><Relationship Type="http://schemas.openxmlformats.org/officeDocument/2006/relationships/hyperlink" Target="https://www.ifood.com.br/delivery/manaus-am/geburger---hamburgueria-parque-dez-de-novembro/65cfcd89-42ca-44de-8bd9-5fea8bbedc91" TargetMode="External" Id="rId12" /><Relationship Type="http://schemas.openxmlformats.org/officeDocument/2006/relationships/hyperlink" Target="https://www.ifood.com.br/delivery/manaus-am/goiaba-burguer-adrianopolis/56ef66a5-01fc-46f4-9e54-fd49f1f4eb61" TargetMode="External" Id="rId13" /><Relationship Type="http://schemas.openxmlformats.org/officeDocument/2006/relationships/hyperlink" Target="https://www.ifood.com.br/delivery/manaus-am/hamburgueria-tbf-burger---hamburguer--hot-dog-nossa-senhora-das-gracas/23912bb7-95ed-40dd-97cc-a787098def94" TargetMode="External" Id="rId14" /><Relationship Type="http://schemas.openxmlformats.org/officeDocument/2006/relationships/hyperlink" Target="https://www.ifood.com.br/delivery/manaus-am/jotas-burgers---hamburgueria-parque-10-de-novembro/1d31e7b1-1031-4a93-b13e-8aff8101ba6c" TargetMode="External" Id="rId15" /><Relationship Type="http://schemas.openxmlformats.org/officeDocument/2006/relationships/hyperlink" Target="https://www.ifood.com.br/delivery/manaus-am/jsk-burgers---cidade-nova-colonia-santo-antonio/6d4b0b03-dab0-4a14-912c-42a122968fe7" TargetMode="External" Id="rId16" /><Relationship Type="http://schemas.openxmlformats.org/officeDocument/2006/relationships/hyperlink" Target="https://www.ifood.com.br/delivery/manaus-am/santa-brasa-burger-house---djalma-parque-10-de-novembro/5f2546ef-4139-4111-831a-3c99dbc5bf77" TargetMode="External" Id="rId17" /><Relationship Type="http://schemas.openxmlformats.org/officeDocument/2006/relationships/hyperlink" Target="https://www.ifood.com.br/delivery/macapa-ap/gburguer---hamburgueria-artesanal-marabaixo/7413fe18-b4dc-443f-9cdd-2ac920426156" TargetMode="External" Id="rId18" /><Relationship Type="http://schemas.openxmlformats.org/officeDocument/2006/relationships/hyperlink" Target="https://www.ifood.com.br/delivery/macapa-ap/hamburgueria-the-b-burguer-macapa-universidade/3cf040b6-bf1f-4c9d-996c-de9edf9a6e5d" TargetMode="External" Id="rId19" /><Relationship Type="http://schemas.openxmlformats.org/officeDocument/2006/relationships/hyperlink" Target="https://www.ifood.com.br/delivery/macapa-ap/homemade-hamburgueria-central/334c3d7c-de85-4d5d-b3ec-a30fa4f9272b" TargetMode="External" Id="rId20" /><Relationship Type="http://schemas.openxmlformats.org/officeDocument/2006/relationships/hyperlink" Target="https://www.ifood.com.br/delivery/salvador-ba/dk-burger--bar--o-melhor-hamburguer-artesanal-de-salvador-sao-marcos/4028c735-8e6c-4e25-9f1e-b2b31a71a8d2" TargetMode="External" Id="rId21" /><Relationship Type="http://schemas.openxmlformats.org/officeDocument/2006/relationships/hyperlink" Target="https://www.ifood.com.br/delivery/salvador-ba/good-food-burguer-brotas/4231f7e3-b708-44b2-8507-4880b1f6fd36" TargetMode="External" Id="rId22" /><Relationship Type="http://schemas.openxmlformats.org/officeDocument/2006/relationships/hyperlink" Target="https://www.ifood.com.br/delivery/salvador-ba/gs-burger---hamburgueria---lanches-dom-avelar/48c3b097-7c8e-453d-a95e-a81e479febe5" TargetMode="External" Id="rId23" /><Relationship Type="http://schemas.openxmlformats.org/officeDocument/2006/relationships/hyperlink" Target="https://www.ifood.com.br/delivery/salvador-ba/oxe-burger---hamburgueria-artesanal-novo-horizonte/b574a477-6a7c-40a6-bf0b-e9b22e4cacf8" TargetMode="External" Id="rId24" /><Relationship Type="http://schemas.openxmlformats.org/officeDocument/2006/relationships/hyperlink" Target="https://www.ifood.com.br/delivery/salvador-ba/hamburgueria---seltcs-burger-matatu/e5afb426-895e-4f18-a78a-e9c305c1f53d" TargetMode="External" Id="rId25" /><Relationship Type="http://schemas.openxmlformats.org/officeDocument/2006/relationships/hyperlink" Target="https://www.ifood.com.br/delivery/fortaleza-ce/4burger---ultra-smash-burger-jose-bonifacio/6b0a6d57-ea0f-46f4-8bb7-84584c10f40c" TargetMode="External" Id="rId26" /><Relationship Type="http://schemas.openxmlformats.org/officeDocument/2006/relationships/hyperlink" Target="https://www.ifood.com.br/delivery/fortaleza-ce/a-banca-hamburgueria-cristo-redentor/7c1cf984-802b-4d70-b5ad-a7235e16b2f0" TargetMode="External" Id="rId27" /><Relationship Type="http://schemas.openxmlformats.org/officeDocument/2006/relationships/hyperlink" Target="https://www.ifood.com.br/delivery/fortaleza-ce/double-trouble-burger---smash-guararapes/e6a68cde-a2db-44d1-a513-3b178ed70116" TargetMode="External" Id="rId28" /><Relationship Type="http://schemas.openxmlformats.org/officeDocument/2006/relationships/hyperlink" Target="https://www.ifood.com.br/delivery/fortaleza-ce/hamburgueria-88-parquelandia/4904fdb8-1d6f-4826-b24c-699b39bc57df" TargetMode="External" Id="rId29" /><Relationship Type="http://schemas.openxmlformats.org/officeDocument/2006/relationships/hyperlink" Target="https://www.ifood.com.br/delivery/fortaleza-ce/hook-smash-burger-aldeota/d49cb05f-284e-4353-b1b5-93c8b0f13822" TargetMode="External" Id="rId30" /><Relationship Type="http://schemas.openxmlformats.org/officeDocument/2006/relationships/hyperlink" Target="https://www.ifood.com.br/delivery/fortaleza-ce/porpino-burger-meireles/1a1c8bce-4a58-45bb-a261-75c38518384c" TargetMode="External" Id="rId31" /><Relationship Type="http://schemas.openxmlformats.org/officeDocument/2006/relationships/hyperlink" Target="https://www.ifood.com.br/delivery/fortaleza-ce/seu-chefe-hamburgueria-maraponga-jardim-cearense/c91eaa2f-2ca8-4ebf-9eb0-c04e0b2a2b3b" TargetMode="External" Id="rId32" /><Relationship Type="http://schemas.openxmlformats.org/officeDocument/2006/relationships/hyperlink" Target="https://www.ifood.com.br/delivery/fortaleza-ce/the-burger---smash--combos-baratos-lagoa-sapiranga-coite/f880830c-bac7-4048-8852-34af47876e11" TargetMode="External" Id="rId33" /><Relationship Type="http://schemas.openxmlformats.org/officeDocument/2006/relationships/hyperlink" Target="https://www.ifood.com.br/delivery/fortaleza-ce/zack-smashs-dionisio-torres/26b0bf12-bf7e-4823-98f7-da2628480d83" TargetMode="External" Id="rId34" /><Relationship Type="http://schemas.openxmlformats.org/officeDocument/2006/relationships/hyperlink" Target="https://www.ifood.com.br/delivery/brasilia-df/mr-py-bbq--burger-setor-habitacional-vicente-pires/9088135a-4367-4928-b1a3-4bf2494f3047" TargetMode="External" Id="rId35" /><Relationship Type="http://schemas.openxmlformats.org/officeDocument/2006/relationships/hyperlink" Target="https://www.ifood.com.br/delivery/brasilia-df/prediletto-smash-burguer-samambaia-norte-samambaia/47d5d610-77f8-485c-82f8-6eb0bdf8ce7a" TargetMode="External" Id="rId36" /><Relationship Type="http://schemas.openxmlformats.org/officeDocument/2006/relationships/hyperlink" Target="https://www.ifood.com.br/delivery/brasilia-df/pao-recheado-hamburgueria---samambaia-norte-samambaia-norte-samambaia/7ded2f02-3009-40dd-b7f2-de2ddb91b685" TargetMode="External" Id="rId37" /><Relationship Type="http://schemas.openxmlformats.org/officeDocument/2006/relationships/hyperlink" Target="https://www.ifood.com.br/delivery/brasilia-df/smash-burger-bsb-asa-norte/591abcb9-0553-4c94-8aba-95bec1339406" TargetMode="External" Id="rId38" /><Relationship Type="http://schemas.openxmlformats.org/officeDocument/2006/relationships/hyperlink" Target="https://www.ifood.com.br/delivery/brasilia-df/spot-burguers--shakes---sudoeste-setor-sudoeste/151fd034-c665-447f-8196-fcfc6e7ec5e6" TargetMode="External" Id="rId39" /><Relationship Type="http://schemas.openxmlformats.org/officeDocument/2006/relationships/hyperlink" Target="https://www.ifood.com.br/delivery/brasilia-df/starbulls-hamburgueria---steak-e-burguer-recanto-das-emas/3237119b-a5b9-4ca8-bec1-a4649de494e1" TargetMode="External" Id="rId40" /><Relationship Type="http://schemas.openxmlformats.org/officeDocument/2006/relationships/hyperlink" Target="https://www.ifood.com.br/delivery/vila-velha-es/casa-burger-vila-velha----hamburgueria-itapua/c8864c42-7b19-4f76-9094-e7c1b146f58e" TargetMode="External" Id="rId41" /><Relationship Type="http://schemas.openxmlformats.org/officeDocument/2006/relationships/hyperlink" Target="https://www.ifood.com.br/delivery/vila-velha-es/favela-burger-delivery-novo-mexico/e7e593e4-a26a-4488-89c4-ddba0aeaa212" TargetMode="External" Id="rId42" /><Relationship Type="http://schemas.openxmlformats.org/officeDocument/2006/relationships/hyperlink" Target="https://www.ifood.com.br/delivery/vila-velha-es/show-burger-hamburgueria-artesanal-praia-de-itaparica/3e18482c-476e-4465-8d67-22ebf49568db" TargetMode="External" Id="rId43" /><Relationship Type="http://schemas.openxmlformats.org/officeDocument/2006/relationships/hyperlink" Target="https://www.ifood.com.br/delivery/vila-velha-es/victoria-burger---vila-velha-praia-da-costa/3660262b-f1a8-4c1f-8d57-4c2ca98ed03e" TargetMode="External" Id="rId44" /><Relationship Type="http://schemas.openxmlformats.org/officeDocument/2006/relationships/hyperlink" Target="https://www.ifood.com.br/delivery/aparecida-de-goiania-go/dlira-burger-hamburgueria-gourmet-entrega-gratis-e-rapida-vila-brasilia/3f507fe8-6118-4a7d-8293-960b60d5d0cf" TargetMode="External" Id="rId45" /><Relationship Type="http://schemas.openxmlformats.org/officeDocument/2006/relationships/hyperlink" Target="https://www.ifood.com.br/delivery/goiania-go/best-burgers--cia-setor-bueno/19badad1-059f-442d-871a-d71936544cb3" TargetMode="External" Id="rId46" /><Relationship Type="http://schemas.openxmlformats.org/officeDocument/2006/relationships/hyperlink" Target="https://www.ifood.com.br/delivery/goiania-go/me-gusta-burger---hamburgueria-artesanal-jardim-america/ed582e59-9592-4a58-8fc6-91f9555aa887" TargetMode="External" Id="rId47" /><Relationship Type="http://schemas.openxmlformats.org/officeDocument/2006/relationships/hyperlink" Target="https://www.ifood.com.br/delivery/goiania-go/mr-smash-burger-hamburgueria-e-lanches-jardim-america/777179ad-e04d-474e-a0bc-3ba7f57ffb9a" TargetMode="External" Id="rId48" /><Relationship Type="http://schemas.openxmlformats.org/officeDocument/2006/relationships/hyperlink" Target="https://www.ifood.com.br/delivery/goiania-go/rafas-burgers-setor-pedro-ludovico/e5bce0c8-92cf-4004-a244-41a9e70e546c" TargetMode="External" Id="rId49" /><Relationship Type="http://schemas.openxmlformats.org/officeDocument/2006/relationships/hyperlink" Target="https://www.ifood.com.br/delivery/goiania-go/simple-burger-jardim-goias/6a74d403-696d-4c94-8afc-5805014ca50b" TargetMode="External" Id="rId50" /><Relationship Type="http://schemas.openxmlformats.org/officeDocument/2006/relationships/hyperlink" Target="https://www.ifood.com.br/delivery/goiania-go/tt-burger---goiania-st-marista/37fb4025-931f-47da-b3a0-35f64cf1a11f" TargetMode="External" Id="rId51" /><Relationship Type="http://schemas.openxmlformats.org/officeDocument/2006/relationships/hyperlink" Target="https://www.ifood.com.br/delivery/aguas-lindas-de-goias-go/smash-burger-artesanal-mansoes-olinda/dd0038ea-091e-475d-8ecc-3d09b5d4792f" TargetMode="External" Id="rId52" /><Relationship Type="http://schemas.openxmlformats.org/officeDocument/2006/relationships/hyperlink" Target="https://www.ifood.com.br/delivery/sao-luis-ma/american-smash-burger-chacara-brasil-turu/59b6a123-8e0b-4802-9875-ac1282efe4fe" TargetMode="External" Id="rId53" /><Relationship Type="http://schemas.openxmlformats.org/officeDocument/2006/relationships/hyperlink" Target="https://www.ifood.com.br/delivery/sao-luis-ma/hamburgueria-blacks-burguer-e-churrasco-cidade-operaria/65783f35-08e2-4102-8fa4-8a8183ac2dc8" TargetMode="External" Id="rId54" /><Relationship Type="http://schemas.openxmlformats.org/officeDocument/2006/relationships/hyperlink" Target="https://www.ifood.com.br/delivery/sao-luis-ma/hamburgueria-rocks-burguer-vila-vicente-fialho/76851aac-3a1a-423e-b493-bfd0623c545f" TargetMode="External" Id="rId55" /><Relationship Type="http://schemas.openxmlformats.org/officeDocument/2006/relationships/hyperlink" Target="https://www.ifood.com.br/delivery/sao-luis-ma/vigore-burger-residencial-vinhais-ii/426b6ea6-5b44-4533-8d09-7bffc53e6919" TargetMode="External" Id="rId56" /><Relationship Type="http://schemas.openxmlformats.org/officeDocument/2006/relationships/hyperlink" Target="https://www.ifood.com.br/delivery/belo-horizonte-mg/hamburgueria-be-de-burguer-artesanal-colegio-batista/ef4ea8bb-4fb4-407d-800d-31abe5351251" TargetMode="External" Id="rId57" /><Relationship Type="http://schemas.openxmlformats.org/officeDocument/2006/relationships/hyperlink" Target="https://www.ifood.com.br/delivery/belo-horizonte-mg/killer-fast-hamburgueria-cidade-nova/c95a2375-64ab-4da2-9a1d-97712af685ad" TargetMode="External" Id="rId58" /><Relationship Type="http://schemas.openxmlformats.org/officeDocument/2006/relationships/hyperlink" Target="https://www.ifood.com.br/delivery/belo-horizonte-mg/seleto-hamburgueria-artesanal---o-melhor-da-regiao-guarani/fcbfc1ff-00fd-4d04-a196-12c75e84710a" TargetMode="External" Id="rId59" /><Relationship Type="http://schemas.openxmlformats.org/officeDocument/2006/relationships/hyperlink" Target="https://www.ifood.com.br/delivery/belo-horizonte-mg/seuburger-smash-sao-pedro/7ecb973d-3100-49f5-99ee-c77fee45b497" TargetMode="External" Id="rId60" /><Relationship Type="http://schemas.openxmlformats.org/officeDocument/2006/relationships/hyperlink" Target="https://www.ifood.com.br/delivery/belo-horizonte-mg/smash-lovers-hamburgueria-serra/357594e6-dd1f-4107-9fc1-c21c615edc6a" TargetMode="External" Id="rId61" /><Relationship Type="http://schemas.openxmlformats.org/officeDocument/2006/relationships/hyperlink" Target="https://www.ifood.com.br/delivery/belo-horizonte-mg/universo-food-bh-o-melhor-hamburguer-de-bh-santa-amelia/0714f0cf-9801-47fb-bc9c-6d677386af08" TargetMode="External" Id="rId62" /><Relationship Type="http://schemas.openxmlformats.org/officeDocument/2006/relationships/hyperlink" Target="https://www.ifood.com.br/delivery/uberaba-mg/mr-smash-burguer-lourdes/a544ea0c-281b-4a35-aa87-ff0b12b01bc8" TargetMode="External" Id="rId63" /><Relationship Type="http://schemas.openxmlformats.org/officeDocument/2006/relationships/hyperlink" Target="https://www.ifood.com.br/delivery/uberlandia-mg/alemanha-burgers---hamburgueria-artesanal----saraiva-saraiva/2656eba6-7256-4389-8902-afcc1957c363" TargetMode="External" Id="rId64" /><Relationship Type="http://schemas.openxmlformats.org/officeDocument/2006/relationships/hyperlink" Target="https://www.ifood.com.br/delivery/uberlandia-mg/punch-smash-burgers-patio-sabia-tibery/2cace795-0266-45b3-9a1f-908475db02b1" TargetMode="External" Id="rId65" /><Relationship Type="http://schemas.openxmlformats.org/officeDocument/2006/relationships/hyperlink" Target="https://www.ifood.com.br/delivery/uberlandia-mg/the-burger-town---centro-cazeca/4466c691-df95-4f99-97ae-c37dfec51f95" TargetMode="External" Id="rId66" /><Relationship Type="http://schemas.openxmlformats.org/officeDocument/2006/relationships/hyperlink" Target="https://www.ifood.com.br/delivery/uberlandia-mg/tomahawk-burguer-granada/b87086bd-a7e9-449e-a1aa-f8f6fd2ba2cf" TargetMode="External" Id="rId67" /><Relationship Type="http://schemas.openxmlformats.org/officeDocument/2006/relationships/hyperlink" Target="https://www.ifood.com.br/delivery/uberlandia-mg/vintage-burguer---lanches-centro/0e68f69c-ebb4-424e-9906-fc1037b574cb" TargetMode="External" Id="rId68" /><Relationship Type="http://schemas.openxmlformats.org/officeDocument/2006/relationships/hyperlink" Target="https://www.ifood.com.br/delivery/uberlandia-mg/will-smash-burger---hamburgueria-artesanal-alto-umuarama/4848e8a5-bb76-41a8-935e-48a682042b3e" TargetMode="External" Id="rId69" /><Relationship Type="http://schemas.openxmlformats.org/officeDocument/2006/relationships/hyperlink" Target="https://www.ifood.com.br/delivery/uberlandia-mg/zorro-burger---hamburgueria-santa-monica/60101130-1d29-41b4-b492-d1a07325a344" TargetMode="External" Id="rId70" /><Relationship Type="http://schemas.openxmlformats.org/officeDocument/2006/relationships/hyperlink" Target="https://www.ifood.com.br/delivery/unai-mg/betao-lanches-cachoeira/f21ce6d9-d2b0-4860-8de7-b6eab435aa98" TargetMode="External" Id="rId71" /><Relationship Type="http://schemas.openxmlformats.org/officeDocument/2006/relationships/hyperlink" Target="https://www.ifood.com.br/delivery/campo-grande-ms/arena-burger---hamburguer-na-brasa-vila-carlota/07eafab6-dd71-4eb5-a2c1-2c36c7f67fd8" TargetMode="External" Id="rId72" /><Relationship Type="http://schemas.openxmlformats.org/officeDocument/2006/relationships/hyperlink" Target="https://www.ifood.com.br/delivery/campo-grande-ms/burger-pub---hamburgueria-centro/968a2745-a7ee-4e16-ba57-24d8a9439c48" TargetMode="External" Id="rId73" /><Relationship Type="http://schemas.openxmlformats.org/officeDocument/2006/relationships/hyperlink" Target="https://www.ifood.com.br/delivery/campo-grande-ms/chef-burguer-hamburgueria-portal-panama/eafd5348-6105-4b6f-a144-be0c8f08918f" TargetMode="External" Id="rId74" /><Relationship Type="http://schemas.openxmlformats.org/officeDocument/2006/relationships/hyperlink" Target="https://www.ifood.com.br/delivery/campo-grande-ms/make-burgers---hamburgueria-jardim-dos-estados/df8fd151-f889-4d28-bbe1-21feb6b1c0d8" TargetMode="External" Id="rId75" /><Relationship Type="http://schemas.openxmlformats.org/officeDocument/2006/relationships/hyperlink" Target="https://www.ifood.com.br/delivery/campo-grande-ms/nabrasa-burger-jardim-paulista/f6979a03-ce8b-4745-a87f-a9e53d16072f" TargetMode="External" Id="rId76" /><Relationship Type="http://schemas.openxmlformats.org/officeDocument/2006/relationships/hyperlink" Target="https://www.ifood.com.br/delivery/cuiaba-mt/065-hamburgueria-novo-horizonte/8baaf082-fe5b-4453-b6d0-c8b19650c63c" TargetMode="External" Id="rId77" /><Relationship Type="http://schemas.openxmlformats.org/officeDocument/2006/relationships/hyperlink" Target="https://www.ifood.com.br/delivery/cuiaba-mt/blazze-burger---hamburguer-artesanal-morada-do-ouro/b2135c2b-fcc3-4035-8214-cc711c877458" TargetMode="External" Id="rId78" /><Relationship Type="http://schemas.openxmlformats.org/officeDocument/2006/relationships/hyperlink" Target="https://www.ifood.com.br/delivery/cuiaba-mt/blend-hamburgueria-artesanal-popular/189ee5a7-5a80-4a7e-8dd9-c7a7e2656a04" TargetMode="External" Id="rId79" /><Relationship Type="http://schemas.openxmlformats.org/officeDocument/2006/relationships/hyperlink" Target="https://www.ifood.com.br/delivery/cuiaba-mt/burguer-na-praca-popular/0a87f2dc-70e8-4155-b128-cfbd2acc4a58" TargetMode="External" Id="rId80" /><Relationship Type="http://schemas.openxmlformats.org/officeDocument/2006/relationships/hyperlink" Target="https://www.ifood.com.br/delivery/cuiaba-mt/cirinos-smash-burger-morada-dos-nobres/24da78fa-7ddc-4500-a81f-65cfd1c1c4cc" TargetMode="External" Id="rId81" /><Relationship Type="http://schemas.openxmlformats.org/officeDocument/2006/relationships/hyperlink" Target="https://www.ifood.com.br/delivery/cuiaba-mt/hamburgueria-black-burguer-cuiaba-popular/3ffc1850-0846-4dab-88f1-dce825955d61" TargetMode="External" Id="rId82" /><Relationship Type="http://schemas.openxmlformats.org/officeDocument/2006/relationships/hyperlink" Target="https://www.ifood.com.br/delivery/cuiaba-mt/master-burgers-alvorada/e22d08fc-ecba-4c2f-a277-c7d5d0c88361" TargetMode="External" Id="rId83" /><Relationship Type="http://schemas.openxmlformats.org/officeDocument/2006/relationships/hyperlink" Target="https://www.ifood.com.br/delivery/cuiaba-mt/quality-hamburgueria-oficial-jardim-petropolis/ecc9d6f5-6392-4ffd-8b5d-f4289227aea6" TargetMode="External" Id="rId84" /><Relationship Type="http://schemas.openxmlformats.org/officeDocument/2006/relationships/hyperlink" Target="https://www.ifood.com.br/delivery/belem-pa/papachibe-burger-pedreira/90616e55-51e2-4ba2-9663-3a698bb84c3b" TargetMode="External" Id="rId85" /><Relationship Type="http://schemas.openxmlformats.org/officeDocument/2006/relationships/hyperlink" Target="https://www.ifood.com.br/delivery/belem-pa/porpino-burger-umarizal/ccb04d4e-117c-4906-ab1f-9b2dc607effc" TargetMode="External" Id="rId86" /><Relationship Type="http://schemas.openxmlformats.org/officeDocument/2006/relationships/hyperlink" Target="https://www.ifood.com.br/delivery/belem-pa/rusty-burger---hamburgueria-umarizal/59bb119d-aed2-422e-99f6-76f385153bb6" TargetMode="External" Id="rId87" /><Relationship Type="http://schemas.openxmlformats.org/officeDocument/2006/relationships/hyperlink" Target="https://www.ifood.com.br/delivery/belem-pa/shake-burger-hamburgueria-nazare/5fd1ca66-1188-46f4-a823-958a6592aea7" TargetMode="External" Id="rId88" /><Relationship Type="http://schemas.openxmlformats.org/officeDocument/2006/relationships/hyperlink" Target="https://www.ifood.com.br/delivery/belem-pa/smash-point-burger-pedreira/3a6f1e98-7d04-4010-82ed-41e563114068" TargetMode="External" Id="rId89" /><Relationship Type="http://schemas.openxmlformats.org/officeDocument/2006/relationships/hyperlink" Target="https://www.ifood.com.br/delivery/joao-pessoa-pb/burger-in-pack---hamburguer-smash-tambau/1234022b-0a27-4ee5-beb7-6c0511d9c92b" TargetMode="External" Id="rId90" /><Relationship Type="http://schemas.openxmlformats.org/officeDocument/2006/relationships/hyperlink" Target="https://www.ifood.com.br/delivery/joao-pessoa-pb/cabrones-hamburgueria---hamburguer-brisamar/4954962e-1705-4249-938c-be5df0305f01" TargetMode="External" Id="rId91" /><Relationship Type="http://schemas.openxmlformats.org/officeDocument/2006/relationships/hyperlink" Target="https://www.ifood.com.br/delivery/joao-pessoa-pb/grill-burguer---hamburguer-artesanal-jose-americo-de-almeida/fbf736bb-d2c2-46fd-9ea0-b0ef0e1f2445" TargetMode="External" Id="rId92" /><Relationship Type="http://schemas.openxmlformats.org/officeDocument/2006/relationships/hyperlink" Target="https://www.ifood.com.br/delivery/joao-pessoa-pb/home-burger---hamburgueria-manaira/bfdc7e35-d19d-4a4c-a1aa-33e3fcd0c7a7" TargetMode="External" Id="rId93" /><Relationship Type="http://schemas.openxmlformats.org/officeDocument/2006/relationships/hyperlink" Target="https://www.ifood.com.br/delivery/joao-pessoa-pb/royale-burger---hamburgueria-artesanal-mangabeira/4513b913-0c35-41aa-87ab-f3a9f372ef60" TargetMode="External" Id="rId94" /><Relationship Type="http://schemas.openxmlformats.org/officeDocument/2006/relationships/hyperlink" Target="https://www.ifood.com.br/delivery/joao-pessoa-pb/smash-hamburguer-artesanal-jardim-oceania/f07b94fc-aa84-4d7b-9e75-47bc935086d0" TargetMode="External" Id="rId95" /><Relationship Type="http://schemas.openxmlformats.org/officeDocument/2006/relationships/hyperlink" Target="https://www.ifood.com.br/delivery/joao-pessoa-pb/squeeze-burger---hamburguer-smash-manaira/c9ee829f-d23b-4b3e-9b5a-bf24b6311f05" TargetMode="External" Id="rId96" /><Relationship Type="http://schemas.openxmlformats.org/officeDocument/2006/relationships/hyperlink" Target="https://www.ifood.com.br/delivery/joao-pessoa-pb/the-lab-burgers---hamburguer-artesanal-bancarios/ab7cec64-8945-4b79-9c99-4ba9534cee3c" TargetMode="External" Id="rId97" /><Relationship Type="http://schemas.openxmlformats.org/officeDocument/2006/relationships/hyperlink" Target="https://www.ifood.com.br/delivery/joao-pessoa-pb/west-burger---hamburguer--smash-tambauzinho/c72c0279-63bf-40a3-a842-a4db1b169cc8" TargetMode="External" Id="rId98" /><Relationship Type="http://schemas.openxmlformats.org/officeDocument/2006/relationships/hyperlink" Target="https://www.ifood.com.br/delivery/olinda-pe/404-burger--fries-vila-popular/1244f0be-34f7-42b5-9d40-615995d25255" TargetMode="External" Id="rId99" /><Relationship Type="http://schemas.openxmlformats.org/officeDocument/2006/relationships/hyperlink" Target="https://www.ifood.com.br/delivery/recife-pe/bora-burger---hamburgeria-artesanal-varzea/ac355155-c553-460f-88e3-460290b5a40a" TargetMode="External" Id="rId100" /><Relationship Type="http://schemas.openxmlformats.org/officeDocument/2006/relationships/hyperlink" Target="https://www.ifood.com.br/delivery/recife-pe/burguer-mania---hamburgueria-iputinga/0d129680-0710-4759-8ad1-be221937e27f" TargetMode="External" Id="rId101" /><Relationship Type="http://schemas.openxmlformats.org/officeDocument/2006/relationships/hyperlink" Target="https://www.ifood.com.br/delivery/recife-pe/conceito-burger-ipsep/c960eaf5-8b90-4cc6-804d-8e6ffd055906" TargetMode="External" Id="rId102" /><Relationship Type="http://schemas.openxmlformats.org/officeDocument/2006/relationships/hyperlink" Target="https://www.ifood.com.br/delivery/recife-pe/hamburgueria-maria-bonita-nova-descoberta/962bb432-2d56-4f5a-b318-93a73da797f7" TargetMode="External" Id="rId103" /><Relationship Type="http://schemas.openxmlformats.org/officeDocument/2006/relationships/hyperlink" Target="https://www.ifood.com.br/delivery/recife-pe/hype-burger---hamburguer-artesanal-campina-do-barreto/8a42e998-b436-4b64-bf14-beefed3e8231" TargetMode="External" Id="rId104" /><Relationship Type="http://schemas.openxmlformats.org/officeDocument/2006/relationships/hyperlink" Target="https://www.ifood.com.br/delivery/recife-pe/mister-ed-smash-burguer-iputinga/87082110-1c18-4830-b676-b08450152d69" TargetMode="External" Id="rId105" /><Relationship Type="http://schemas.openxmlformats.org/officeDocument/2006/relationships/hyperlink" Target="https://www.ifood.com.br/delivery/recife-pe/mooo-hamburgueria-gourmet-e-saladaria-boa-viagem/63c2c50f-b008-48a7-a121-3d19d7ef4b87" TargetMode="External" Id="rId106" /><Relationship Type="http://schemas.openxmlformats.org/officeDocument/2006/relationships/hyperlink" Target="https://www.ifood.com.br/delivery/recife-pe/pahoa-burguer---hamburguer-artesanal-boa-viagem/52631e91-8aa0-4add-a45d-735e6fec14a5" TargetMode="External" Id="rId107" /><Relationship Type="http://schemas.openxmlformats.org/officeDocument/2006/relationships/hyperlink" Target="https://www.ifood.com.br/delivery/teresina-pi/45-burger---joquei-ininga/15c762a0-c435-4b0a-8d66-ace69af254ff" TargetMode="External" Id="rId108" /><Relationship Type="http://schemas.openxmlformats.org/officeDocument/2006/relationships/hyperlink" Target="https://www.ifood.com.br/delivery/teresina-pi/alecrim-hamburgueria-joquei/d93730e3-089f-4745-a87d-3d6bb505ed92" TargetMode="External" Id="rId109" /><Relationship Type="http://schemas.openxmlformats.org/officeDocument/2006/relationships/hyperlink" Target="https://www.ifood.com.br/delivery/teresina-pi/dom-gourmet-hamburgueria-e-pastelaria-dirceu-i/0951de67-c0a6-4ee7-93b2-3e29d0318b0a" TargetMode="External" Id="rId110" /><Relationship Type="http://schemas.openxmlformats.org/officeDocument/2006/relationships/hyperlink" Target="https://www.ifood.com.br/delivery/curitiba-pr/bun-burgers---ultra-smash-burger-juveve/0c88d5b5-9190-4b14-ab0f-486128ec055c" TargetMode="External" Id="rId111" /><Relationship Type="http://schemas.openxmlformats.org/officeDocument/2006/relationships/hyperlink" Target="https://www.ifood.com.br/delivery/curitiba-pr/baratissimo-smash-burgers---no-precinho-juveve/468c388c-b547-4cf3-b039-0fc5b4ba67ea" TargetMode="External" Id="rId112" /><Relationship Type="http://schemas.openxmlformats.org/officeDocument/2006/relationships/hyperlink" Target="https://www.ifood.com.br/delivery/curitiba-pr/cwb-burguer---hamburgueria-smash-campo-de-santana/76af4fe8-ba54-4365-986c-71ffb22ad991" TargetMode="External" Id="rId113" /><Relationship Type="http://schemas.openxmlformats.org/officeDocument/2006/relationships/hyperlink" Target="https://www.ifood.com.br/delivery/curitiba-pr/dois-palito-smash-burger---sao-lourenco-hamburgueria-sao-lourenco/c18bb714-5df5-4ad0-8d28-19ef517f48d7" TargetMode="External" Id="rId114" /><Relationship Type="http://schemas.openxmlformats.org/officeDocument/2006/relationships/hyperlink" Target="https://www.ifood.com.br/delivery/curitiba-pr/hamburgueria--crazy-burger-uberaba/4847da9f-d30c-4428-a871-b16dd5d18b6a" TargetMode="External" Id="rId115" /><Relationship Type="http://schemas.openxmlformats.org/officeDocument/2006/relationships/hyperlink" Target="https://www.ifood.com.br/delivery/curitiba-pr/lets--smash-burger-no-precinho---agua-verde-agua-verde/55da165a-88fa-4970-a39c-55124063d9ff" TargetMode="External" Id="rId116" /><Relationship Type="http://schemas.openxmlformats.org/officeDocument/2006/relationships/hyperlink" Target="https://www.ifood.com.br/delivery/curitiba-pr/maria-fumaca-burger-smash-e-defumado---hamburgueria-reboucas/e6691538-3a24-4513-8ad6-f3aba12a764a" TargetMode="External" Id="rId117" /><Relationship Type="http://schemas.openxmlformats.org/officeDocument/2006/relationships/hyperlink" Target="https://www.ifood.com.br/delivery/curitiba-pr/pilgrim-bar--smash-burgers-batel/f7d3390a-a976-4432-bbfe-37b9726e19df" TargetMode="External" Id="rId118" /><Relationship Type="http://schemas.openxmlformats.org/officeDocument/2006/relationships/hyperlink" Target="https://www.ifood.com.br/delivery/curitiba-pr/supremo-burger-cwb---hamburgueria-agua-verde/ea339ca5-bfee-4431-8602-d3e09788026b" TargetMode="External" Id="rId119" /><Relationship Type="http://schemas.openxmlformats.org/officeDocument/2006/relationships/hyperlink" Target="https://www.ifood.com.br/delivery/londrina-pr/77-hamburgueria-gleba-fazenda-palhano/55b06664-5d95-4493-84de-2ece2722560a" TargetMode="External" Id="rId120" /><Relationship Type="http://schemas.openxmlformats.org/officeDocument/2006/relationships/hyperlink" Target="https://www.ifood.com.br/delivery/londrina-pr/general-hamburgueria-conjunto-vivi-xavier/f58a53cd-5623-46bf-82d2-5ae2bc7c0be5" TargetMode="External" Id="rId121" /><Relationship Type="http://schemas.openxmlformats.org/officeDocument/2006/relationships/hyperlink" Target="https://www.ifood.com.br/delivery/londrina-pr/hamburgueria-elite-burger-centro/e647abd0-b2a4-4d83-91b2-a559f028b741" TargetMode="External" Id="rId122" /><Relationship Type="http://schemas.openxmlformats.org/officeDocument/2006/relationships/hyperlink" Target="https://www.ifood.com.br/delivery/londrina-pr/o-burgues---burger-londrina-gleba-fazenda-palhano/6744adbf-781b-45dc-af91-ce2549151fce" TargetMode="External" Id="rId123" /><Relationship Type="http://schemas.openxmlformats.org/officeDocument/2006/relationships/hyperlink" Target="https://www.ifood.com.br/delivery/londrina-pr/santo-burger---hamburguer--lanches-boa-vista/471a45ad-b1bc-466f-a0d3-67124d599a16" TargetMode="External" Id="rId124" /><Relationship Type="http://schemas.openxmlformats.org/officeDocument/2006/relationships/hyperlink" Target="https://www.ifood.com.br/delivery/londrina-pr/the-burgers-centro/ef9e76fc-0093-45ce-b9b3-ccd83c3bd1ab" TargetMode="External" Id="rId125" /><Relationship Type="http://schemas.openxmlformats.org/officeDocument/2006/relationships/hyperlink" Target="https://www.ifood.com.br/delivery/londrina-pr/top-burger-jardim-higienopolis/049d4c96-73b8-44d1-8a9b-c0e8340fa801" TargetMode="External" Id="rId126" /><Relationship Type="http://schemas.openxmlformats.org/officeDocument/2006/relationships/hyperlink" Target="https://www.ifood.com.br/delivery/londrina-pr/smash-prime-burger-universitario/ec5709c0-248b-4477-973d-68d3aa7eaf73" TargetMode="External" Id="rId127" /><Relationship Type="http://schemas.openxmlformats.org/officeDocument/2006/relationships/hyperlink" Target="https://www.ifood.com.br/delivery/rio-de-janeiro-rj/artesanos-hamburgueria-artesanal-vila-isabel/2c419f55-ee2b-429c-925c-90aa9a03eae4" TargetMode="External" Id="rId128" /><Relationship Type="http://schemas.openxmlformats.org/officeDocument/2006/relationships/hyperlink" Target="https://www.ifood.com.br/delivery/rio-de-janeiro-rj/baps-burguer---hamburgueria-artesanal-penha/15f5c9b3-121e-4f14-9630-3d1f643b6db9" TargetMode="External" Id="rId129" /><Relationship Type="http://schemas.openxmlformats.org/officeDocument/2006/relationships/hyperlink" Target="https://www.ifood.com.br/delivery/rio-de-janeiro-rj/burger-house---hamburgueria-artesanal-paciencia/7e6f65db-641a-44f5-a891-52957deacfaf" TargetMode="External" Id="rId130" /><Relationship Type="http://schemas.openxmlformats.org/officeDocument/2006/relationships/hyperlink" Target="https://www.ifood.com.br/delivery/rio-de-janeiro-rj/gamers-burger-hamburgueria-artesanal-curicica/936f898f-eea2-4e90-8113-dda866af9612" TargetMode="External" Id="rId131" /><Relationship Type="http://schemas.openxmlformats.org/officeDocument/2006/relationships/hyperlink" Target="https://www.ifood.com.br/delivery/rio-de-janeiro-rj/gastro-house-hamburgueria-artesanal-engenho-novo/8f85ec66-f53b-42ee-b3e9-54311ed299e0" TargetMode="External" Id="rId132" /><Relationship Type="http://schemas.openxmlformats.org/officeDocument/2006/relationships/hyperlink" Target="https://www.ifood.com.br/delivery/rio-de-janeiro-rj/hamburgueria-sa---burger-artesanal-centro/106bed4b-5c15-4ab6-baea-81237ae3b1c3" TargetMode="External" Id="rId133" /><Relationship Type="http://schemas.openxmlformats.org/officeDocument/2006/relationships/hyperlink" Target="https://www.ifood.com.br/delivery/rio-de-janeiro-rj/hamburguesia---hamburguer-artesanal-todos-os-santos/dbba4258-f90a-420a-bea2-d0c837514128" TargetMode="External" Id="rId134" /><Relationship Type="http://schemas.openxmlformats.org/officeDocument/2006/relationships/hyperlink" Target="https://www.ifood.com.br/delivery/rio-de-janeiro-rj/real-burguer---hamburguer-artesanal-olaria/2f9492f2-bb76-4a23-a0fe-82df45e7366c" TargetMode="External" Id="rId135" /><Relationship Type="http://schemas.openxmlformats.org/officeDocument/2006/relationships/hyperlink" Target="https://www.ifood.com.br/delivery/rio-de-janeiro-rj/street-hamburgueria-artesanal-inhoaiba/f3f0d43e-4ec2-497a-bb75-ef0c89395c68" TargetMode="External" Id="rId136" /><Relationship Type="http://schemas.openxmlformats.org/officeDocument/2006/relationships/hyperlink" Target="https://www.ifood.com.br/delivery/rio-de-janeiro-rj/tartaros-hamburgueria-artesanal-grajau/7803e685-9ed1-4df6-a145-59082a27f97a" TargetMode="External" Id="rId137" /><Relationship Type="http://schemas.openxmlformats.org/officeDocument/2006/relationships/hyperlink" Target="https://www.ifood.com.br/delivery/natal-rn/galaxy-smash-burger-neopolis/b909db66-41e2-4928-ab47-cd889e904752" TargetMode="External" Id="rId138" /><Relationship Type="http://schemas.openxmlformats.org/officeDocument/2006/relationships/hyperlink" Target="https://www.ifood.com.br/delivery/natal-rn/la-brasa-burger-natal-ponta-negra/4f30e96d-03ed-40a9-ba26-102356ddf967" TargetMode="External" Id="rId139" /><Relationship Type="http://schemas.openxmlformats.org/officeDocument/2006/relationships/hyperlink" Target="https://www.ifood.com.br/delivery/natal-rn/nogueirinhas-burger-barro-vermelho/8c1de63e-aac5-4dd2-8b11-b6affa55fe17" TargetMode="External" Id="rId140" /><Relationship Type="http://schemas.openxmlformats.org/officeDocument/2006/relationships/hyperlink" Target="https://www.ifood.com.br/delivery/natal-rn/pastelanche-lagoa-nova-pastelhamburguer-tirol/10a8a7d1-1a03-408d-a54e-aae48442800f" TargetMode="External" Id="rId141" /><Relationship Type="http://schemas.openxmlformats.org/officeDocument/2006/relationships/hyperlink" Target="https://www.ifood.com.br/delivery/porto-velho-ro/broken-burger-olaria/60580d1a-ff55-47d8-a972-c137f836442e" TargetMode="External" Id="rId142" /><Relationship Type="http://schemas.openxmlformats.org/officeDocument/2006/relationships/hyperlink" Target="https://www.ifood.com.br/delivery/porto-velho-ro/burger-bros-hamburgueria-pedrinhas/7ca966e7-312e-4525-8129-2f43e338bbcd" TargetMode="External" Id="rId143" /><Relationship Type="http://schemas.openxmlformats.org/officeDocument/2006/relationships/hyperlink" Target="https://www.ifood.com.br/delivery/porto-velho-ro/la-brasa-burger-porto-velho-olaria/6e2e87a2-dc39-43a4-a825-a19c0fef6b31" TargetMode="External" Id="rId144" /><Relationship Type="http://schemas.openxmlformats.org/officeDocument/2006/relationships/hyperlink" Target="https://www.ifood.com.br/delivery/porto-velho-ro/routes-hamburgueria-igarape/6b7127b5-c559-46ff-a173-275fe5baaf8e" TargetMode="External" Id="rId145" /><Relationship Type="http://schemas.openxmlformats.org/officeDocument/2006/relationships/hyperlink" Target="https://www.ifood.com.br/delivery/porto-velho-ro/speciality-burguer-hamburgueria-artesanal-embratel/2a3c1aa4-dcf1-4ab9-abbe-1ea0b74babcb" TargetMode="External" Id="rId146" /><Relationship Type="http://schemas.openxmlformats.org/officeDocument/2006/relationships/hyperlink" Target="https://www.ifood.com.br/delivery/porto-velho-ro/velho-burger-hamburgueria-areal/ff09f53d-5d48-42c4-86b5-7fba77c4cdba" TargetMode="External" Id="rId147" /><Relationship Type="http://schemas.openxmlformats.org/officeDocument/2006/relationships/hyperlink" Target="https://www.ifood.com.br/delivery/boa-vista-rr/dburger-mecejana/17ce5740-1ae6-4fb1-b47e-f7e54c0b2713" TargetMode="External" Id="rId148" /><Relationship Type="http://schemas.openxmlformats.org/officeDocument/2006/relationships/hyperlink" Target="https://www.ifood.com.br/delivery/boa-vista-rr/hamburgueria-244-buritis/0a5390d8-7083-4ea9-af31-4a5e4b3c31b5" TargetMode="External" Id="rId149" /><Relationship Type="http://schemas.openxmlformats.org/officeDocument/2006/relationships/hyperlink" Target="https://www.ifood.com.br/delivery/boa-vista-rr/la-brasa-burger---boa-vista-trinta-e-um-de-marco/d29b5c04-9aa4-4670-8bac-820216e9c7a2" TargetMode="External" Id="rId150" /><Relationship Type="http://schemas.openxmlformats.org/officeDocument/2006/relationships/hyperlink" Target="https://www.ifood.com.br/delivery/erechim-rs/peppers-burger-centro/c69fa738-f1e8-4acd-b0a8-a33463a13e64" TargetMode="External" Id="rId151" /><Relationship Type="http://schemas.openxmlformats.org/officeDocument/2006/relationships/hyperlink" Target="https://www.ifood.com.br/delivery/porto-alegre-rs/jacks-factory-smash-burger---bom-fim-bom-fim/195b8704-916d-4d89-b73d-8c2a7bfb5993" TargetMode="External" Id="rId152" /><Relationship Type="http://schemas.openxmlformats.org/officeDocument/2006/relationships/hyperlink" Target="https://www.ifood.com.br/delivery/porto-alegre-rs/master-smash-burger-tristeza/38da2932-e302-472d-844d-b844ecdf6ea1" TargetMode="External" Id="rId153" /><Relationship Type="http://schemas.openxmlformats.org/officeDocument/2006/relationships/hyperlink" Target="https://www.ifood.com.br/delivery/porto-alegre-rs/porto-burger-hamburguer-xis-porto-alegre-mont39serrat/55b5cb11-607e-4296-9da4-98f4e7f14244" TargetMode="External" Id="rId154" /><Relationship Type="http://schemas.openxmlformats.org/officeDocument/2006/relationships/hyperlink" Target="https://www.ifood.com.br/delivery/porto-alegre-rs/pretti-hamburgueria---smash-burger-partenon/0e795a4a-c279-409c-8511-2155546ec8b7" TargetMode="External" Id="rId155" /><Relationship Type="http://schemas.openxmlformats.org/officeDocument/2006/relationships/hyperlink" Target="https://www.ifood.com.br/delivery/porto-alegre-rs/smash-burger-poa-boa-vista/915c0036-bd66-4689-8070-b55ab4ff703f" TargetMode="External" Id="rId156" /><Relationship Type="http://schemas.openxmlformats.org/officeDocument/2006/relationships/hyperlink" Target="https://www.ifood.com.br/delivery/porto-alegre-rs/tres-gordos-ultra-smash-burguer-auxiliadora/c79fd3af-9d77-4eea-871d-9f2287a95b45" TargetMode="External" Id="rId157" /><Relationship Type="http://schemas.openxmlformats.org/officeDocument/2006/relationships/hyperlink" Target="https://www.ifood.com.br/delivery/porto-alegre-rs/xis-flip---xis--smash-burger-moinhos-de-vento/b4bca42f-deaf-4785-9c15-627181bf0cf7" TargetMode="External" Id="rId158" /><Relationship Type="http://schemas.openxmlformats.org/officeDocument/2006/relationships/hyperlink" Target="https://www.ifood.com.br/delivery/blumenau-sc/burgerbravo---fortaleza-fortaleza-alta/c22b31b3-1780-41cd-a879-c1511f668590" TargetMode="External" Id="rId159" /><Relationship Type="http://schemas.openxmlformats.org/officeDocument/2006/relationships/hyperlink" Target="https://www.ifood.com.br/delivery/blumenau-sc/burgerbravo---itoupava-central-itoupavazinha/9e636a6d-9541-41ca-a8a0-212de36781e5" TargetMode="External" Id="rId160" /><Relationship Type="http://schemas.openxmlformats.org/officeDocument/2006/relationships/hyperlink" Target="https://www.ifood.com.br/delivery/florianopolis-sc/billy-king-hamburgueria-campeche-central/1a8f0fea-2308-45d6-bd28-f5958e573bca" TargetMode="External" Id="rId161" /><Relationship Type="http://schemas.openxmlformats.org/officeDocument/2006/relationships/hyperlink" Target="https://www.ifood.com.br/delivery/florianopolis-sc/flaty-burger-canasvieiras/91a618bc-cb33-4505-8aa5-22f2d22c4f1f" TargetMode="External" Id="rId162" /><Relationship Type="http://schemas.openxmlformats.org/officeDocument/2006/relationships/hyperlink" Target="https://www.ifood.com.br/delivery/florianopolis-sc/floripa-burgers-jurere/e29a2dbc-504c-4e0a-be24-f4ad663ab5c1" TargetMode="External" Id="rId163" /><Relationship Type="http://schemas.openxmlformats.org/officeDocument/2006/relationships/hyperlink" Target="https://www.ifood.com.br/delivery/florianopolis-sc/floripa-porcoes--lanches-agronomica/19732140-289c-4346-a27a-07d9461f9fb4" TargetMode="External" Id="rId164" /><Relationship Type="http://schemas.openxmlformats.org/officeDocument/2006/relationships/hyperlink" Target="https://www.ifood.com.br/delivery/florianopolis-sc/smash-beef-burger-campeche/f27dbcfd-5558-47f0-b699-038e19a9911c" TargetMode="External" Id="rId165" /><Relationship Type="http://schemas.openxmlformats.org/officeDocument/2006/relationships/hyperlink" Target="https://www.ifood.com.br/delivery/florianopolis-sc/smash-king-pantanal/3ec78f8c-ba9d-4335-b2e5-85e9e1d94740" TargetMode="External" Id="rId166" /><Relationship Type="http://schemas.openxmlformats.org/officeDocument/2006/relationships/hyperlink" Target="https://www.ifood.com.br/delivery/florianopolis-sc/tijuana-burger---hamburguer-lagoa-lagoa-da-conceicao/5cf36c66-6c09-46a7-8fe8-e255faf8bedc" TargetMode="External" Id="rId167" /><Relationship Type="http://schemas.openxmlformats.org/officeDocument/2006/relationships/hyperlink" Target="https://www.ifood.com.br/delivery/joinville-sc/burger-craft-rustic-hamburgueria-angus-e-vegetais-america/c98cf784-ebce-4542-9a57-72eaa2d97a3d" TargetMode="External" Id="rId168" /><Relationship Type="http://schemas.openxmlformats.org/officeDocument/2006/relationships/hyperlink" Target="https://www.ifood.com.br/delivery/joinville-sc/focas-burger---joinville-bucarein/331a7510-071f-496e-bfeb-80153c3a59e5" TargetMode="External" Id="rId169" /><Relationship Type="http://schemas.openxmlformats.org/officeDocument/2006/relationships/hyperlink" Target="https://www.ifood.com.br/delivery/joinville-sc/hamburgueria-buenos-delivery-fatima/f84c5880-87a9-4185-b2de-462c5ba0194c" TargetMode="External" Id="rId170" /><Relationship Type="http://schemas.openxmlformats.org/officeDocument/2006/relationships/hyperlink" Target="https://www.ifood.com.br/delivery/joinville-sc/js-bs-costa-e-silva/a158d810-d720-4859-b05e-da180ea7822c" TargetMode="External" Id="rId171" /><Relationship Type="http://schemas.openxmlformats.org/officeDocument/2006/relationships/hyperlink" Target="https://www.ifood.com.br/delivery/joinville-sc/nacoes-smash-burger----hamburguer-artesanal-e-lanches-zona-industrial-norte/c780cf35-0308-4a19-8b5b-2a505460824e" TargetMode="External" Id="rId172" /><Relationship Type="http://schemas.openxmlformats.org/officeDocument/2006/relationships/hyperlink" Target="https://www.ifood.com.br/delivery/joinville-sc/saint-burger---hamburgueria-artesanal-costa-e-silva/3e55e5af-6d9f-408a-bad9-856683b8629f" TargetMode="External" Id="rId173" /><Relationship Type="http://schemas.openxmlformats.org/officeDocument/2006/relationships/hyperlink" Target="https://www.ifood.com.br/delivery/joinville-sc/start-burger-e-beer-atiradores/a9b77ca1-bb63-48f5-90a4-f961422492e0" TargetMode="External" Id="rId174" /><Relationship Type="http://schemas.openxmlformats.org/officeDocument/2006/relationships/hyperlink" Target="https://www.ifood.com.br/delivery/joinville-sc/tom-burger---hamburgueria-petropolis/09064a4b-fcde-4602-b2dd-66b3ee74f4a7" TargetMode="External" Id="rId175" /><Relationship Type="http://schemas.openxmlformats.org/officeDocument/2006/relationships/hyperlink" Target="https://www.ifood.com.br/delivery/sao-jose-sc/carne-de-panela-bagueteria--smash-burger-ipiranga/0b7fe417-e0e6-41e0-a5ae-694ac50350e2" TargetMode="External" Id="rId176" /><Relationship Type="http://schemas.openxmlformats.org/officeDocument/2006/relationships/hyperlink" Target="https://www.ifood.com.br/delivery/tijucas-sc/iburger-hamburgueria-areias/ff86a093-602c-4d85-9115-f71338752cfa" TargetMode="External" Id="rId177" /><Relationship Type="http://schemas.openxmlformats.org/officeDocument/2006/relationships/hyperlink" Target="https://www.ifood.com.br/delivery/aracaju-se/blend-burger-circus-foodpark-jardins/dcfaf55a-759c-4f10-b5bc-8f86e64991fa" TargetMode="External" Id="rId178" /><Relationship Type="http://schemas.openxmlformats.org/officeDocument/2006/relationships/hyperlink" Target="https://www.ifood.com.br/delivery/aracaju-se/burger--cia-gourmet---orla-atalaia/bf8fe157-7ec4-4976-b6f1-53d92ae389ff" TargetMode="External" Id="rId179" /><Relationship Type="http://schemas.openxmlformats.org/officeDocument/2006/relationships/hyperlink" Target="https://www.ifood.com.br/delivery/aracaju-se/churras-burguer-aeroporto/71937de1-0644-4b68-8cde-3f6b93b50111" TargetMode="External" Id="rId180" /><Relationship Type="http://schemas.openxmlformats.org/officeDocument/2006/relationships/hyperlink" Target="https://www.ifood.com.br/delivery/aracaju-se/hamburgueria-brothers-burguer-coroa-do-meio/ae7fd3fa-0732-4dbb-8085-8333c27428c1" TargetMode="External" Id="rId181" /><Relationship Type="http://schemas.openxmlformats.org/officeDocument/2006/relationships/hyperlink" Target="https://www.ifood.com.br/delivery/aracaju-se/hamburgueria-johnny-smash-burger-luzia-luzia/c2f6287f-58aa-4069-80db-707258031ad0" TargetMode="External" Id="rId182" /><Relationship Type="http://schemas.openxmlformats.org/officeDocument/2006/relationships/hyperlink" Target="https://www.ifood.com.br/delivery/aracaju-se/scape-burger-jabotiana/ad8eb515-8075-44ef-aecf-6f21be3636f1" TargetMode="External" Id="rId183" /><Relationship Type="http://schemas.openxmlformats.org/officeDocument/2006/relationships/hyperlink" Target="https://www.ifood.com.br/delivery/aracaju-se/revo-burger-13-de-julho/31c0a596-da64-4e10-a5fd-4dd705881d60" TargetMode="External" Id="rId184" /><Relationship Type="http://schemas.openxmlformats.org/officeDocument/2006/relationships/hyperlink" Target="https://www.ifood.com.br/delivery/aracaju-se/the-sandwich--suica--hamburguer-smash-artesanal-suissa/d4d55377-081f-4255-a2de-ef7bad53f816" TargetMode="External" Id="rId185" /><Relationship Type="http://schemas.openxmlformats.org/officeDocument/2006/relationships/hyperlink" Target="https://www.ifood.com.br/delivery/araras-sp/ape-burguer-vila-pastorello/66cf3922-ad99-4afe-80f8-ec11aad92158" TargetMode="External" Id="rId186" /><Relationship Type="http://schemas.openxmlformats.org/officeDocument/2006/relationships/hyperlink" Target="https://www.ifood.com.br/delivery/campinas-sp/butcher-super-smash-cambui/fa69e760-732c-416e-a92b-61a58e78929f" TargetMode="External" Id="rId187" /><Relationship Type="http://schemas.openxmlformats.org/officeDocument/2006/relationships/hyperlink" Target="https://www.ifood.com.br/delivery/campinas-sp/cunhados-burger---hamburgueria-artesanal-vila-aeroporto-i/da643bd3-2882-495b-81ad-95579a8bd0aa" TargetMode="External" Id="rId188" /><Relationship Type="http://schemas.openxmlformats.org/officeDocument/2006/relationships/hyperlink" Target="https://www.ifood.com.br/delivery/campinas-sp/hamburgueria-mirantes-burger-centro/4a76b477-bc4c-44ff-bebc-7e97f6f067e0" TargetMode="External" Id="rId189" /><Relationship Type="http://schemas.openxmlformats.org/officeDocument/2006/relationships/hyperlink" Target="https://www.ifood.com.br/delivery/campinas-sp/hamburgueria-tosco-garage-jardim-garcia/e8c15078-5e3e-4a25-98fa-de0e38837ea3" TargetMode="External" Id="rId190" /><Relationship Type="http://schemas.openxmlformats.org/officeDocument/2006/relationships/hyperlink" Target="https://www.ifood.com.br/delivery/campinas-sp/mister-chapa-burger-e-smash-taquaral/8003c2a7-974f-40db-9e56-df2bd404182f" TargetMode="External" Id="rId191" /><Relationship Type="http://schemas.openxmlformats.org/officeDocument/2006/relationships/hyperlink" Target="https://www.ifood.com.br/delivery/campinas-sp/smash-b-burger---taquaral-jardim-nossa-senhora-auxiliadora/53660d89-6403-470b-8d7e-96983c3b10b5" TargetMode="External" Id="rId192" /><Relationship Type="http://schemas.openxmlformats.org/officeDocument/2006/relationships/hyperlink" Target="https://www.ifood.com.br/delivery/campinas-sp/smash-boss-hamburgueria-taquaral/3b622f2d-31eb-4218-b67f-bb6a64565160" TargetMode="External" Id="rId193" /><Relationship Type="http://schemas.openxmlformats.org/officeDocument/2006/relationships/hyperlink" Target="https://www.ifood.com.br/delivery/campinas-sp/tesla-smash-burger-parque-taquaral/f82e79b4-70bc-458f-b420-8406a30e9826" TargetMode="External" Id="rId194" /><Relationship Type="http://schemas.openxmlformats.org/officeDocument/2006/relationships/hyperlink" Target="https://www.ifood.com.br/delivery/franco-da-rocha-sp/rota-66-burger-estancia-lago-azul/bf27db73-ffd8-4ac0-8603-31eaafcab6f8" TargetMode="External" Id="rId195" /><Relationship Type="http://schemas.openxmlformats.org/officeDocument/2006/relationships/hyperlink" Target="https://www.ifood.com.br/delivery/lorena-sp/burger-grill-bg-lorena-vila-nunes/a463c9de-4960-436c-92c0-5f73a1776f77" TargetMode="External" Id="rId196" /><Relationship Type="http://schemas.openxmlformats.org/officeDocument/2006/relationships/hyperlink" Target="https://www.ifood.com.br/delivery/ribeirao-preto-sp/berro-burguer-hamburgueria-especialista-centro/8dc67f93-7d27-4392-8074-8919b7cd717c" TargetMode="External" Id="rId197" /><Relationship Type="http://schemas.openxmlformats.org/officeDocument/2006/relationships/hyperlink" Target="https://www.ifood.com.br/delivery/ribeirao-preto-sp/dex-hamburgueria-independencia/3ddef4fe-66a3-4019-84b2-d3de1745ee06" TargetMode="External" Id="rId198" /><Relationship Type="http://schemas.openxmlformats.org/officeDocument/2006/relationships/hyperlink" Target="https://www.ifood.com.br/delivery/ribeirao-preto-sp/lanche-jambs-burger--hamburguer-smash--parque-ribeirao-preto/7e0a8d01-498e-46f5-8883-125e799a0b7f" TargetMode="External" Id="rId199" /><Relationship Type="http://schemas.openxmlformats.org/officeDocument/2006/relationships/hyperlink" Target="https://www.ifood.com.br/delivery/ribeirao-preto-sp/new-york-smash-burger-vila-virginia/f5bce703-8f09-41f1-bf45-647c64417016" TargetMode="External" Id="rId200" /><Relationship Type="http://schemas.openxmlformats.org/officeDocument/2006/relationships/hyperlink" Target="https://www.ifood.com.br/delivery/ribeirao-preto-sp/punch-smash-burger---ribeirao-preto-alto-da-boa-vista/607fde11-5af9-4694-ba52-633de7fa46a0" TargetMode="External" Id="rId201" /><Relationship Type="http://schemas.openxmlformats.org/officeDocument/2006/relationships/hyperlink" Target="https://www.ifood.com.br/delivery/ribeirao-preto-sp/smash-burger-centro/ee4bf269-c17a-46cc-b806-b7935343abbc" TargetMode="External" Id="rId202" /><Relationship Type="http://schemas.openxmlformats.org/officeDocument/2006/relationships/hyperlink" Target="https://www.ifood.com.br/delivery/ribeirao-preto-sp/hamburgueria---smashtheking-jardim-interlagos/06d6831e-05de-41b5-b349-6e1cd72c76ca" TargetMode="External" Id="rId203" /><Relationship Type="http://schemas.openxmlformats.org/officeDocument/2006/relationships/hyperlink" Target="https://www.ifood.com.br/delivery/ribeirao-preto-sp/tasca-burger---hamburgueria-jardim-sumare/ae7cb0b9-abcd-4e2b-81d1-5c9b0b606a42" TargetMode="External" Id="rId204" /><Relationship Type="http://schemas.openxmlformats.org/officeDocument/2006/relationships/hyperlink" Target="https://www.ifood.com.br/delivery/santo-andre-sp/bom-beef-burgers-hamburgueria---abc---netao-jardim/6e44205c-c3a7-4704-a958-90fa3dcf1e02" TargetMode="External" Id="rId205" /><Relationship Type="http://schemas.openxmlformats.org/officeDocument/2006/relationships/hyperlink" Target="https://www.ifood.com.br/delivery/sao-bernardo-do-campo-sp/t-burgerz-hamburgueria-jardim-independencia/51d77633-d6fc-4ab9-9b15-a27735fd7619" TargetMode="External" Id="rId206" /><Relationship Type="http://schemas.openxmlformats.org/officeDocument/2006/relationships/hyperlink" Target="https://www.ifood.com.br/delivery/sao-joao-da-boa-vista-sp/burger-time---hamburgueria-lanches--dog-vila-brasil/f5f3720d-1c73-4734-8f5f-9400a3c31c49" TargetMode="External" Id="rId207" /><Relationship Type="http://schemas.openxmlformats.org/officeDocument/2006/relationships/hyperlink" Target="https://www.ifood.com.br/delivery/sao-joao-da-boa-vista-sp/garden-gourmet-hamburgueria-sao-lazaro/7783748b-ac42-476d-8064-73101c8eeae9" TargetMode="External" Id="rId208" /><Relationship Type="http://schemas.openxmlformats.org/officeDocument/2006/relationships/hyperlink" Target="https://www.ifood.com.br/delivery/sao-paulo-sp/the-brothers-burger---unidade-ii-vila-mascote/d8b6c199-06f1-46f8-8fe3-713a460dd8f1" TargetMode="External" Id="rId209" /><Relationship Type="http://schemas.openxmlformats.org/officeDocument/2006/relationships/hyperlink" Target="https://www.ifood.com.br/delivery/sao-paulo-sp/burgers-house---hamburgueria-artesanal-mooca/3632e64c-1c32-48f5-9209-823d46f5e0bd" TargetMode="External" Id="rId210" /><Relationship Type="http://schemas.openxmlformats.org/officeDocument/2006/relationships/hyperlink" Target="https://www.ifood.com.br/delivery/sao-paulo-sp/dinos-smash-burger---hamburgueria-chacara-belenzinho/f33c57a0-9d5e-4c7c-bade-7c277dce10aa" TargetMode="External" Id="rId211" /><Relationship Type="http://schemas.openxmlformats.org/officeDocument/2006/relationships/hyperlink" Target="https://www.ifood.com.br/delivery/sao-paulo-sp/guimis-burguer---tatuape-vila-regente-feijo/b5f8502a-33c6-4dcd-be81-60e8e8fb29a9" TargetMode="External" Id="rId212" /><Relationship Type="http://schemas.openxmlformats.org/officeDocument/2006/relationships/hyperlink" Target="https://www.ifood.com.br/delivery/sao-paulo-sp/hamburgueria-6019-australian-burger-carandiru/de4dbbb0-f345-4315-bec6-a3463287f20f" TargetMode="External" Id="rId213" /><Relationship Type="http://schemas.openxmlformats.org/officeDocument/2006/relationships/hyperlink" Target="https://www.ifood.com.br/delivery/sao-paulo-sp/hamburgueria-artesanal---smash-burger-jardim-da-pedreira/a83143f2-6fab-41df-9b37-60f17ef721db" TargetMode="External" Id="rId214" /><Relationship Type="http://schemas.openxmlformats.org/officeDocument/2006/relationships/hyperlink" Target="https://www.ifood.com.br/delivery/sao-paulo-sp/hamburgueria-burgao-zona-leste-parque-paulistano/55b933a5-817d-47ad-8569-01862cbab48a" TargetMode="External" Id="rId215" /><Relationship Type="http://schemas.openxmlformats.org/officeDocument/2006/relationships/hyperlink" Target="https://www.ifood.com.br/delivery/sao-paulo-sp/hamburgueria-johnny-smash-burger-bras-caninde/9d4e7fde-2be4-4a5e-9b89-47c7a1ab42a4" TargetMode="External" Id="rId216" /><Relationship Type="http://schemas.openxmlformats.org/officeDocument/2006/relationships/hyperlink" Target="https://www.ifood.com.br/delivery/sao-paulo-sp/hamburgueria-tag-burger-paraiso/30999d7a-9aa4-4e8e-b0d4-1ebcd3ea4db2" TargetMode="External" Id="rId217" /><Relationship Type="http://schemas.openxmlformats.org/officeDocument/2006/relationships/hyperlink" Target="https://www.ifood.com.br/delivery/sao-paulo-sp/hamburgueria-tradi-tatuape-vila-gomes-cardim/f695dcb2-f58c-472d-b835-bc76a3713f0b" TargetMode="External" Id="rId218" /><Relationship Type="http://schemas.openxmlformats.org/officeDocument/2006/relationships/hyperlink" Target="https://www.ifood.com.br/delivery/sao-paulo-sp/hamburgueria-ze-burguer-jardim-brasilia-zona-leste/6798ab34-ac32-4334-b386-9418205d3a0f" TargetMode="External" Id="rId219" /><Relationship Type="http://schemas.openxmlformats.org/officeDocument/2006/relationships/hyperlink" Target="https://www.ifood.com.br/delivery/sao-paulo-sp/holy-smash-burguer-vila-bertioga/c23a05a8-c7b0-4b78-af2f-c11fc328190f" TargetMode="External" Id="rId220" /><Relationship Type="http://schemas.openxmlformats.org/officeDocument/2006/relationships/hyperlink" Target="https://www.ifood.com.br/delivery/sao-paulo-sp/johns-burguer-mooca-alto-da-mooca/212e7c7f-9e7a-4ff1-ab06-d2878ef95315" TargetMode="External" Id="rId221" /><Relationship Type="http://schemas.openxmlformats.org/officeDocument/2006/relationships/hyperlink" Target="https://www.ifood.com.br/delivery/sao-paulo-sp/los-burger---hamburgueria-artesanal-jardim-paulista/f3f800bc-dd95-44bf-8085-7ad4e6c33c19" TargetMode="External" Id="rId222" /><Relationship Type="http://schemas.openxmlformats.org/officeDocument/2006/relationships/hyperlink" Target="https://www.ifood.com.br/delivery/sao-paulo-sp/six-burgers-mooca-vila-claudia/487def9a-b205-4734-8dcd-40cd583c6de9" TargetMode="External" Id="rId223" /><Relationship Type="http://schemas.openxmlformats.org/officeDocument/2006/relationships/hyperlink" Target="https://www.ifood.com.br/delivery/sao-paulo-sp/smash--burguer-letz-pinheiros/c317acf7-79da-4dac-8425-ea9d806a1829" TargetMode="External" Id="rId224" /><Relationship Type="http://schemas.openxmlformats.org/officeDocument/2006/relationships/hyperlink" Target="https://www.ifood.com.br/delivery/sao-paulo-sp/smash-burger-vila-aurora-zona-norte/6d128ed6-fdc8-4407-9d8f-b2f88a28b751" TargetMode="External" Id="rId225" /><Relationship Type="http://schemas.openxmlformats.org/officeDocument/2006/relationships/hyperlink" Target="https://www.ifood.com.br/delivery/sao-paulo-sp/smash-burger-o-artesao-vila-marari/3fa3460d-3743-4a1d-b48e-f0c6df649cdb" TargetMode="External" Id="rId226" /><Relationship Type="http://schemas.openxmlformats.org/officeDocument/2006/relationships/hyperlink" Target="https://www.ifood.com.br/delivery/sao-paulo-sp/smash-burguer-bela-vista-bela-vista/3e40a468-d0b6-44a3-a41e-811f1ffba5d8" TargetMode="External" Id="rId227" /><Relationship Type="http://schemas.openxmlformats.org/officeDocument/2006/relationships/hyperlink" Target="https://www.ifood.com.br/delivery/sao-paulo-sp/the-route-burger-santana/afc62ffd-6e27-480c-8c69-51da5c44996b" TargetMode="External" Id="rId228" /><Relationship Type="http://schemas.openxmlformats.org/officeDocument/2006/relationships/hyperlink" Target="https://www.ifood.com.br/delivery/sao-paulo-sp/tt-burger-o-melhor-hamburguer-pinheiros-pinheiros/2aade219-5903-404e-ac47-c30686026eef" TargetMode="External" Id="rId229" /><Relationship Type="http://schemas.openxmlformats.org/officeDocument/2006/relationships/hyperlink" Target="https://www.ifood.com.br/delivery/palmas-to/artesano-burguer---hamburguer-artesanal-plano-diretor-norte/50135a7a-0b32-4263-9c4f-0383abc8c900" TargetMode="External" Id="rId230" /><Relationship Type="http://schemas.openxmlformats.org/officeDocument/2006/relationships/hyperlink" Target="https://www.ifood.com.br/delivery/palmas-to/barao-de-paiva-hamburgueria-jardim-aureny-iii-taquaralto/9f9dfef2-7cf0-47c9-8c96-12f022e0be03" TargetMode="External" Id="rId231" /><Relationship Type="http://schemas.openxmlformats.org/officeDocument/2006/relationships/hyperlink" Target="https://www.ifood.com.br/delivery/palmas-to/hamburgueria-graciosa-plano-diretor-norte/a0bc9b2e-f81d-455d-b6b0-86ea901124b5" TargetMode="External" Id="rId232" /><Relationship Type="http://schemas.openxmlformats.org/officeDocument/2006/relationships/hyperlink" Target="https://www.ifood.com.br/delivery/palmas-to/la-casa-gourmet-hamburgueria-plano-diretor-sul/76a2be5a-a333-4e52-b75d-1956a2bad8b9" TargetMode="External" Id="rId233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0" customWidth="1" min="2" max="2"/>
    <col width="18" customWidth="1" min="3" max="3"/>
    <col width="5" customWidth="1" min="4" max="4"/>
    <col width="24" customWidth="1" min="5" max="5"/>
    <col width="12" customWidth="1" min="6" max="6"/>
    <col width="7" customWidth="1" min="7" max="7"/>
    <col width="10" customWidth="1" min="8" max="8"/>
    <col width="12" customWidth="1" min="9" max="9"/>
    <col width="11" customWidth="1" min="10" max="10"/>
    <col width="18" customWidth="1" min="11" max="11"/>
    <col width="18" customWidth="1" min="12" max="12"/>
    <col width="20" customWidth="1" min="13" max="13"/>
    <col width="13" customWidth="1" min="14" max="14"/>
    <col width="14" customWidth="1" min="15" max="15"/>
    <col width="13" customWidth="1" min="16" max="16"/>
    <col width="11" customWidth="1" min="17" max="17"/>
    <col width="11" customWidth="1" min="18" max="18"/>
    <col width="9" customWidth="1" min="19" max="19"/>
    <col width="34" customWidth="1" min="20" max="20"/>
    <col width="30" customWidth="1" min="21" max="21"/>
  </cols>
  <sheetData>
    <row r="1" ht="32" customHeight="1">
      <c r="A1" s="1" t="inlineStr">
        <is>
          <t>#</t>
        </is>
      </c>
      <c r="B1" s="1" t="inlineStr">
        <is>
          <t>Hamburgueria</t>
        </is>
      </c>
      <c r="C1" s="1" t="inlineStr">
        <is>
          <t>Cidade</t>
        </is>
      </c>
      <c r="D1" s="1" t="inlineStr">
        <is>
          <t>UF</t>
        </is>
      </c>
      <c r="E1" s="1" t="inlineStr">
        <is>
          <t>Bairro</t>
        </is>
      </c>
      <c r="F1" s="1" t="inlineStr">
        <is>
          <t>Link iFood</t>
        </is>
      </c>
      <c r="G1" s="1" t="inlineStr">
        <is>
          <t>Rede?</t>
        </is>
      </c>
      <c r="H1" s="1" t="inlineStr">
        <is>
          <t>Nota iFood</t>
        </is>
      </c>
      <c r="I1" s="1" t="inlineStr">
        <is>
          <t>Nº avaliações</t>
        </is>
      </c>
      <c r="J1" s="1" t="inlineStr">
        <is>
          <t>Prioridade</t>
        </is>
      </c>
      <c r="K1" s="1" t="inlineStr">
        <is>
          <t>Instagram</t>
        </is>
      </c>
      <c r="L1" s="1" t="inlineStr">
        <is>
          <t>WhatsApp</t>
        </is>
      </c>
      <c r="M1" s="1" t="inlineStr">
        <is>
          <t>Lanche principal</t>
        </is>
      </c>
      <c r="N1" s="1" t="inlineStr">
        <is>
          <t>Preço do lanche (R$)</t>
        </is>
      </c>
      <c r="O1" s="1" t="inlineStr">
        <is>
          <t>Taxa iFood por lanche (R$)</t>
        </is>
      </c>
      <c r="P1" s="1" t="inlineStr">
        <is>
          <t>Data 1º contato</t>
        </is>
      </c>
      <c r="Q1" s="1" t="inlineStr">
        <is>
          <t>Respondeu?</t>
        </is>
      </c>
      <c r="R1" s="1" t="inlineStr">
        <is>
          <t>Viu o link?</t>
        </is>
      </c>
      <c r="S1" s="1" t="inlineStr">
        <is>
          <t>Fechou?</t>
        </is>
      </c>
      <c r="T1" s="1" t="inlineStr">
        <is>
          <t>Motivo do "não"</t>
        </is>
      </c>
      <c r="U1" s="1" t="inlineStr">
        <is>
          <t>Observações</t>
        </is>
      </c>
    </row>
    <row r="2">
      <c r="A2" s="2" t="n">
        <v>1</v>
      </c>
      <c r="B2" s="3" t="inlineStr">
        <is>
          <t>Imperium Hamburgueria e Pizzaria</t>
        </is>
      </c>
      <c r="C2" s="3" t="inlineStr">
        <is>
          <t>Rio Branco</t>
        </is>
      </c>
      <c r="D2" s="2" t="inlineStr">
        <is>
          <t>AC</t>
        </is>
      </c>
      <c r="E2" s="3" t="inlineStr">
        <is>
          <t>Nova Esperança</t>
        </is>
      </c>
      <c r="F2" s="4" t="inlineStr">
        <is>
          <t>abrir</t>
        </is>
      </c>
      <c r="G2" s="2" t="inlineStr"/>
      <c r="H2" s="5" t="n"/>
      <c r="I2" s="6" t="n"/>
      <c r="J2" s="2">
        <f>IF(I2="","",IF(I2&gt;=300,"Alta",IF(I2&gt;=100,"Média","Baixa")))</f>
        <v/>
      </c>
      <c r="K2" s="7" t="n"/>
      <c r="L2" s="7" t="n"/>
      <c r="M2" s="7" t="n"/>
      <c r="N2" s="8" t="n"/>
      <c r="O2" s="9">
        <f>IF(N2="","",N2*'Como usar'!$C$6)</f>
        <v/>
      </c>
      <c r="P2" s="10" t="n"/>
      <c r="Q2" s="11" t="n"/>
      <c r="R2" s="11" t="n"/>
      <c r="S2" s="11" t="n"/>
      <c r="T2" s="7" t="n"/>
      <c r="U2" s="7" t="n"/>
    </row>
    <row r="3">
      <c r="A3" s="2" t="n">
        <v>2</v>
      </c>
      <c r="B3" s="3" t="inlineStr">
        <is>
          <t>Alpha Burgers - Hamburgueria Artesanal</t>
        </is>
      </c>
      <c r="C3" s="3" t="inlineStr">
        <is>
          <t>Maceió</t>
        </is>
      </c>
      <c r="D3" s="2" t="inlineStr">
        <is>
          <t>AL</t>
        </is>
      </c>
      <c r="E3" s="3" t="inlineStr">
        <is>
          <t>Barro Duro</t>
        </is>
      </c>
      <c r="F3" s="4" t="inlineStr">
        <is>
          <t>abrir</t>
        </is>
      </c>
      <c r="G3" s="2" t="inlineStr"/>
      <c r="H3" s="5" t="n"/>
      <c r="I3" s="6" t="n"/>
      <c r="J3" s="2">
        <f>IF(I3="","",IF(I3&gt;=300,"Alta",IF(I3&gt;=100,"Média","Baixa")))</f>
        <v/>
      </c>
      <c r="K3" s="7" t="n"/>
      <c r="L3" s="7" t="n"/>
      <c r="M3" s="7" t="n"/>
      <c r="N3" s="8" t="n"/>
      <c r="O3" s="9">
        <f>IF(N3="","",N3*'Como usar'!$C$6)</f>
        <v/>
      </c>
      <c r="P3" s="10" t="n"/>
      <c r="Q3" s="11" t="n"/>
      <c r="R3" s="11" t="n"/>
      <c r="S3" s="11" t="n"/>
      <c r="T3" s="7" t="n"/>
      <c r="U3" s="7" t="n"/>
    </row>
    <row r="4">
      <c r="A4" s="2" t="n">
        <v>3</v>
      </c>
      <c r="B4" s="3" t="inlineStr">
        <is>
          <t>Hamburgueria Johnny Smash Burger (Ponta Verde)</t>
        </is>
      </c>
      <c r="C4" s="3" t="inlineStr">
        <is>
          <t>Maceió</t>
        </is>
      </c>
      <c r="D4" s="2" t="inlineStr">
        <is>
          <t>AL</t>
        </is>
      </c>
      <c r="E4" s="3" t="inlineStr">
        <is>
          <t>Ponta Verde</t>
        </is>
      </c>
      <c r="F4" s="4" t="inlineStr">
        <is>
          <t>abrir</t>
        </is>
      </c>
      <c r="G4" s="2" t="inlineStr">
        <is>
          <t>Sim</t>
        </is>
      </c>
      <c r="H4" s="5" t="n"/>
      <c r="I4" s="6" t="n"/>
      <c r="J4" s="2">
        <f>IF(I4="","",IF(I4&gt;=300,"Alta",IF(I4&gt;=100,"Média","Baixa")))</f>
        <v/>
      </c>
      <c r="K4" s="7" t="n"/>
      <c r="L4" s="7" t="n"/>
      <c r="M4" s="7" t="n"/>
      <c r="N4" s="8" t="n"/>
      <c r="O4" s="9">
        <f>IF(N4="","",N4*'Como usar'!$C$6)</f>
        <v/>
      </c>
      <c r="P4" s="10" t="n"/>
      <c r="Q4" s="11" t="n"/>
      <c r="R4" s="11" t="n"/>
      <c r="S4" s="11" t="n"/>
      <c r="T4" s="7" t="n"/>
      <c r="U4" s="7" t="n"/>
    </row>
    <row r="5">
      <c r="A5" s="2" t="n">
        <v>4</v>
      </c>
      <c r="B5" s="3" t="inlineStr">
        <is>
          <t>Mania Smash - Hamburgueria</t>
        </is>
      </c>
      <c r="C5" s="3" t="inlineStr">
        <is>
          <t>Maceió</t>
        </is>
      </c>
      <c r="D5" s="2" t="inlineStr">
        <is>
          <t>AL</t>
        </is>
      </c>
      <c r="E5" s="3" t="inlineStr">
        <is>
          <t>Jacintinho</t>
        </is>
      </c>
      <c r="F5" s="4" t="inlineStr">
        <is>
          <t>abrir</t>
        </is>
      </c>
      <c r="G5" s="2" t="inlineStr"/>
      <c r="H5" s="5" t="n"/>
      <c r="I5" s="6" t="n"/>
      <c r="J5" s="2">
        <f>IF(I5="","",IF(I5&gt;=300,"Alta",IF(I5&gt;=100,"Média","Baixa")))</f>
        <v/>
      </c>
      <c r="K5" s="7" t="n"/>
      <c r="L5" s="7" t="n"/>
      <c r="M5" s="7" t="n"/>
      <c r="N5" s="8" t="n"/>
      <c r="O5" s="9">
        <f>IF(N5="","",N5*'Como usar'!$C$6)</f>
        <v/>
      </c>
      <c r="P5" s="10" t="n"/>
      <c r="Q5" s="11" t="n"/>
      <c r="R5" s="11" t="n"/>
      <c r="S5" s="11" t="n"/>
      <c r="T5" s="7" t="n"/>
      <c r="U5" s="7" t="n"/>
    </row>
    <row r="6">
      <c r="A6" s="2" t="n">
        <v>5</v>
      </c>
      <c r="B6" s="3" t="inlineStr">
        <is>
          <t>Podrão Sandubaria</t>
        </is>
      </c>
      <c r="C6" s="3" t="inlineStr">
        <is>
          <t>Maceió</t>
        </is>
      </c>
      <c r="D6" s="2" t="inlineStr">
        <is>
          <t>AL</t>
        </is>
      </c>
      <c r="E6" s="3" t="inlineStr">
        <is>
          <t>Jatiúca</t>
        </is>
      </c>
      <c r="F6" s="4" t="inlineStr">
        <is>
          <t>abrir</t>
        </is>
      </c>
      <c r="G6" s="2" t="inlineStr"/>
      <c r="H6" s="5" t="n"/>
      <c r="I6" s="6" t="n"/>
      <c r="J6" s="2">
        <f>IF(I6="","",IF(I6&gt;=300,"Alta",IF(I6&gt;=100,"Média","Baixa")))</f>
        <v/>
      </c>
      <c r="K6" s="7" t="n"/>
      <c r="L6" s="7" t="n"/>
      <c r="M6" s="7" t="n"/>
      <c r="N6" s="8" t="n"/>
      <c r="O6" s="9">
        <f>IF(N6="","",N6*'Como usar'!$C$6)</f>
        <v/>
      </c>
      <c r="P6" s="10" t="n"/>
      <c r="Q6" s="11" t="n"/>
      <c r="R6" s="11" t="n"/>
      <c r="S6" s="11" t="n"/>
      <c r="T6" s="7" t="n"/>
      <c r="U6" s="7" t="n"/>
    </row>
    <row r="7">
      <c r="A7" s="2" t="n">
        <v>6</v>
      </c>
      <c r="B7" s="3" t="inlineStr">
        <is>
          <t>Rocca Burger</t>
        </is>
      </c>
      <c r="C7" s="3" t="inlineStr">
        <is>
          <t>Maceió</t>
        </is>
      </c>
      <c r="D7" s="2" t="inlineStr">
        <is>
          <t>AL</t>
        </is>
      </c>
      <c r="E7" s="3" t="inlineStr">
        <is>
          <t>Jatiúca</t>
        </is>
      </c>
      <c r="F7" s="4" t="inlineStr">
        <is>
          <t>abrir</t>
        </is>
      </c>
      <c r="G7" s="2" t="inlineStr"/>
      <c r="H7" s="5" t="n"/>
      <c r="I7" s="6" t="n"/>
      <c r="J7" s="2">
        <f>IF(I7="","",IF(I7&gt;=300,"Alta",IF(I7&gt;=100,"Média","Baixa")))</f>
        <v/>
      </c>
      <c r="K7" s="7" t="n"/>
      <c r="L7" s="7" t="n"/>
      <c r="M7" s="7" t="n"/>
      <c r="N7" s="8" t="n"/>
      <c r="O7" s="9">
        <f>IF(N7="","",N7*'Como usar'!$C$6)</f>
        <v/>
      </c>
      <c r="P7" s="10" t="n"/>
      <c r="Q7" s="11" t="n"/>
      <c r="R7" s="11" t="n"/>
      <c r="S7" s="11" t="n"/>
      <c r="T7" s="7" t="n"/>
      <c r="U7" s="7" t="n"/>
    </row>
    <row r="8">
      <c r="A8" s="2" t="n">
        <v>7</v>
      </c>
      <c r="B8" s="3" t="inlineStr">
        <is>
          <t>Rustik Express Hamburgueria</t>
        </is>
      </c>
      <c r="C8" s="3" t="inlineStr">
        <is>
          <t>Maceió</t>
        </is>
      </c>
      <c r="D8" s="2" t="inlineStr">
        <is>
          <t>AL</t>
        </is>
      </c>
      <c r="E8" s="3" t="inlineStr">
        <is>
          <t>Poço</t>
        </is>
      </c>
      <c r="F8" s="4" t="inlineStr">
        <is>
          <t>abrir</t>
        </is>
      </c>
      <c r="G8" s="2" t="inlineStr"/>
      <c r="H8" s="5" t="n"/>
      <c r="I8" s="6" t="n"/>
      <c r="J8" s="2">
        <f>IF(I8="","",IF(I8&gt;=300,"Alta",IF(I8&gt;=100,"Média","Baixa")))</f>
        <v/>
      </c>
      <c r="K8" s="7" t="n"/>
      <c r="L8" s="7" t="n"/>
      <c r="M8" s="7" t="n"/>
      <c r="N8" s="8" t="n"/>
      <c r="O8" s="9">
        <f>IF(N8="","",N8*'Como usar'!$C$6)</f>
        <v/>
      </c>
      <c r="P8" s="10" t="n"/>
      <c r="Q8" s="11" t="n"/>
      <c r="R8" s="11" t="n"/>
      <c r="S8" s="11" t="n"/>
      <c r="T8" s="7" t="n"/>
      <c r="U8" s="7" t="n"/>
    </row>
    <row r="9">
      <c r="A9" s="2" t="n">
        <v>8</v>
      </c>
      <c r="B9" s="3" t="inlineStr">
        <is>
          <t>Rustik Hamburgueria</t>
        </is>
      </c>
      <c r="C9" s="3" t="inlineStr">
        <is>
          <t>Maceió</t>
        </is>
      </c>
      <c r="D9" s="2" t="inlineStr">
        <is>
          <t>AL</t>
        </is>
      </c>
      <c r="E9" s="3" t="inlineStr">
        <is>
          <t>Pajuçara</t>
        </is>
      </c>
      <c r="F9" s="4" t="inlineStr">
        <is>
          <t>abrir</t>
        </is>
      </c>
      <c r="G9" s="2" t="inlineStr"/>
      <c r="H9" s="5" t="n"/>
      <c r="I9" s="6" t="n"/>
      <c r="J9" s="2">
        <f>IF(I9="","",IF(I9&gt;=300,"Alta",IF(I9&gt;=100,"Média","Baixa")))</f>
        <v/>
      </c>
      <c r="K9" s="7" t="n"/>
      <c r="L9" s="7" t="n"/>
      <c r="M9" s="7" t="n"/>
      <c r="N9" s="8" t="n"/>
      <c r="O9" s="9">
        <f>IF(N9="","",N9*'Como usar'!$C$6)</f>
        <v/>
      </c>
      <c r="P9" s="10" t="n"/>
      <c r="Q9" s="11" t="n"/>
      <c r="R9" s="11" t="n"/>
      <c r="S9" s="11" t="n"/>
      <c r="T9" s="7" t="n"/>
      <c r="U9" s="7" t="n"/>
    </row>
    <row r="10">
      <c r="A10" s="2" t="n">
        <v>9</v>
      </c>
      <c r="B10" s="3" t="inlineStr">
        <is>
          <t>Bbq Burguer Manaus</t>
        </is>
      </c>
      <c r="C10" s="3" t="inlineStr">
        <is>
          <t>Manaus</t>
        </is>
      </c>
      <c r="D10" s="2" t="inlineStr">
        <is>
          <t>AM</t>
        </is>
      </c>
      <c r="E10" s="3" t="inlineStr">
        <is>
          <t>Cidade Nova</t>
        </is>
      </c>
      <c r="F10" s="4" t="inlineStr">
        <is>
          <t>abrir</t>
        </is>
      </c>
      <c r="G10" s="2" t="inlineStr"/>
      <c r="H10" s="5" t="n"/>
      <c r="I10" s="6" t="n"/>
      <c r="J10" s="2">
        <f>IF(I10="","",IF(I10&gt;=300,"Alta",IF(I10&gt;=100,"Média","Baixa")))</f>
        <v/>
      </c>
      <c r="K10" s="7" t="n"/>
      <c r="L10" s="7" t="n"/>
      <c r="M10" s="7" t="n"/>
      <c r="N10" s="8" t="n"/>
      <c r="O10" s="9">
        <f>IF(N10="","",N10*'Como usar'!$C$6)</f>
        <v/>
      </c>
      <c r="P10" s="10" t="n"/>
      <c r="Q10" s="11" t="n"/>
      <c r="R10" s="11" t="n"/>
      <c r="S10" s="11" t="n"/>
      <c r="T10" s="7" t="n"/>
      <c r="U10" s="7" t="n"/>
    </row>
    <row r="11">
      <c r="A11" s="2" t="n">
        <v>10</v>
      </c>
      <c r="B11" s="3" t="inlineStr">
        <is>
          <t>Burgers &amp; Burgers - Adrianópolis</t>
        </is>
      </c>
      <c r="C11" s="3" t="inlineStr">
        <is>
          <t>Manaus</t>
        </is>
      </c>
      <c r="D11" s="2" t="inlineStr">
        <is>
          <t>AM</t>
        </is>
      </c>
      <c r="E11" s="3" t="inlineStr">
        <is>
          <t>Adrianópolis</t>
        </is>
      </c>
      <c r="F11" s="4" t="inlineStr">
        <is>
          <t>abrir</t>
        </is>
      </c>
      <c r="G11" s="2" t="inlineStr"/>
      <c r="H11" s="5" t="n"/>
      <c r="I11" s="6" t="n"/>
      <c r="J11" s="2">
        <f>IF(I11="","",IF(I11&gt;=300,"Alta",IF(I11&gt;=100,"Média","Baixa")))</f>
        <v/>
      </c>
      <c r="K11" s="7" t="n"/>
      <c r="L11" s="7" t="n"/>
      <c r="M11" s="7" t="n"/>
      <c r="N11" s="8" t="n"/>
      <c r="O11" s="9">
        <f>IF(N11="","",N11*'Como usar'!$C$6)</f>
        <v/>
      </c>
      <c r="P11" s="10" t="n"/>
      <c r="Q11" s="11" t="n"/>
      <c r="R11" s="11" t="n"/>
      <c r="S11" s="11" t="n"/>
      <c r="T11" s="7" t="n"/>
      <c r="U11" s="7" t="n"/>
    </row>
    <row r="12">
      <c r="A12" s="2" t="n">
        <v>11</v>
      </c>
      <c r="B12" s="3" t="inlineStr">
        <is>
          <t>Dome's Burgers - Planalto</t>
        </is>
      </c>
      <c r="C12" s="3" t="inlineStr">
        <is>
          <t>Manaus</t>
        </is>
      </c>
      <c r="D12" s="2" t="inlineStr">
        <is>
          <t>AM</t>
        </is>
      </c>
      <c r="E12" s="3" t="inlineStr">
        <is>
          <t>Planalto</t>
        </is>
      </c>
      <c r="F12" s="4" t="inlineStr">
        <is>
          <t>abrir</t>
        </is>
      </c>
      <c r="G12" s="2" t="inlineStr"/>
      <c r="H12" s="5" t="n"/>
      <c r="I12" s="6" t="n"/>
      <c r="J12" s="2">
        <f>IF(I12="","",IF(I12&gt;=300,"Alta",IF(I12&gt;=100,"Média","Baixa")))</f>
        <v/>
      </c>
      <c r="K12" s="7" t="n"/>
      <c r="L12" s="7" t="n"/>
      <c r="M12" s="7" t="n"/>
      <c r="N12" s="8" t="n"/>
      <c r="O12" s="9">
        <f>IF(N12="","",N12*'Como usar'!$C$6)</f>
        <v/>
      </c>
      <c r="P12" s="10" t="n"/>
      <c r="Q12" s="11" t="n"/>
      <c r="R12" s="11" t="n"/>
      <c r="S12" s="11" t="n"/>
      <c r="T12" s="7" t="n"/>
      <c r="U12" s="7" t="n"/>
    </row>
    <row r="13">
      <c r="A13" s="2" t="n">
        <v>12</v>
      </c>
      <c r="B13" s="3" t="inlineStr">
        <is>
          <t>Geburger - Hamburgueria</t>
        </is>
      </c>
      <c r="C13" s="3" t="inlineStr">
        <is>
          <t>Manaus</t>
        </is>
      </c>
      <c r="D13" s="2" t="inlineStr">
        <is>
          <t>AM</t>
        </is>
      </c>
      <c r="E13" s="3" t="inlineStr">
        <is>
          <t>Parque Dez de Novembro</t>
        </is>
      </c>
      <c r="F13" s="4" t="inlineStr">
        <is>
          <t>abrir</t>
        </is>
      </c>
      <c r="G13" s="2" t="inlineStr"/>
      <c r="H13" s="5" t="n"/>
      <c r="I13" s="6" t="n"/>
      <c r="J13" s="2">
        <f>IF(I13="","",IF(I13&gt;=300,"Alta",IF(I13&gt;=100,"Média","Baixa")))</f>
        <v/>
      </c>
      <c r="K13" s="7" t="n"/>
      <c r="L13" s="7" t="n"/>
      <c r="M13" s="7" t="n"/>
      <c r="N13" s="8" t="n"/>
      <c r="O13" s="9">
        <f>IF(N13="","",N13*'Como usar'!$C$6)</f>
        <v/>
      </c>
      <c r="P13" s="10" t="n"/>
      <c r="Q13" s="11" t="n"/>
      <c r="R13" s="11" t="n"/>
      <c r="S13" s="11" t="n"/>
      <c r="T13" s="7" t="n"/>
      <c r="U13" s="7" t="n"/>
    </row>
    <row r="14">
      <c r="A14" s="2" t="n">
        <v>13</v>
      </c>
      <c r="B14" s="3" t="inlineStr">
        <is>
          <t>Goiaba Burguer</t>
        </is>
      </c>
      <c r="C14" s="3" t="inlineStr">
        <is>
          <t>Manaus</t>
        </is>
      </c>
      <c r="D14" s="2" t="inlineStr">
        <is>
          <t>AM</t>
        </is>
      </c>
      <c r="E14" s="3" t="inlineStr">
        <is>
          <t>Adrianópolis</t>
        </is>
      </c>
      <c r="F14" s="4" t="inlineStr">
        <is>
          <t>abrir</t>
        </is>
      </c>
      <c r="G14" s="2" t="inlineStr"/>
      <c r="H14" s="5" t="n"/>
      <c r="I14" s="6" t="n"/>
      <c r="J14" s="2">
        <f>IF(I14="","",IF(I14&gt;=300,"Alta",IF(I14&gt;=100,"Média","Baixa")))</f>
        <v/>
      </c>
      <c r="K14" s="7" t="n"/>
      <c r="L14" s="7" t="n"/>
      <c r="M14" s="7" t="n"/>
      <c r="N14" s="8" t="n"/>
      <c r="O14" s="9">
        <f>IF(N14="","",N14*'Como usar'!$C$6)</f>
        <v/>
      </c>
      <c r="P14" s="10" t="n"/>
      <c r="Q14" s="11" t="n"/>
      <c r="R14" s="11" t="n"/>
      <c r="S14" s="11" t="n"/>
      <c r="T14" s="7" t="n"/>
      <c r="U14" s="7" t="n"/>
    </row>
    <row r="15">
      <c r="A15" s="2" t="n">
        <v>14</v>
      </c>
      <c r="B15" s="3" t="inlineStr">
        <is>
          <t>Hamburgueria TBF Burger</t>
        </is>
      </c>
      <c r="C15" s="3" t="inlineStr">
        <is>
          <t>Manaus</t>
        </is>
      </c>
      <c r="D15" s="2" t="inlineStr">
        <is>
          <t>AM</t>
        </is>
      </c>
      <c r="E15" s="3" t="inlineStr">
        <is>
          <t>Nossa Senhora das Graças</t>
        </is>
      </c>
      <c r="F15" s="4" t="inlineStr">
        <is>
          <t>abrir</t>
        </is>
      </c>
      <c r="G15" s="2" t="inlineStr"/>
      <c r="H15" s="5" t="n"/>
      <c r="I15" s="6" t="n"/>
      <c r="J15" s="2">
        <f>IF(I15="","",IF(I15&gt;=300,"Alta",IF(I15&gt;=100,"Média","Baixa")))</f>
        <v/>
      </c>
      <c r="K15" s="7" t="n"/>
      <c r="L15" s="7" t="n"/>
      <c r="M15" s="7" t="n"/>
      <c r="N15" s="8" t="n"/>
      <c r="O15" s="9">
        <f>IF(N15="","",N15*'Como usar'!$C$6)</f>
        <v/>
      </c>
      <c r="P15" s="10" t="n"/>
      <c r="Q15" s="11" t="n"/>
      <c r="R15" s="11" t="n"/>
      <c r="S15" s="11" t="n"/>
      <c r="T15" s="7" t="n"/>
      <c r="U15" s="7" t="n"/>
    </row>
    <row r="16">
      <c r="A16" s="2" t="n">
        <v>15</v>
      </c>
      <c r="B16" s="3" t="inlineStr">
        <is>
          <t>Jota's Burgers - Hamburgueria</t>
        </is>
      </c>
      <c r="C16" s="3" t="inlineStr">
        <is>
          <t>Manaus</t>
        </is>
      </c>
      <c r="D16" s="2" t="inlineStr">
        <is>
          <t>AM</t>
        </is>
      </c>
      <c r="E16" s="3" t="inlineStr">
        <is>
          <t>Parque 10 de Novembro</t>
        </is>
      </c>
      <c r="F16" s="4" t="inlineStr">
        <is>
          <t>abrir</t>
        </is>
      </c>
      <c r="G16" s="2" t="inlineStr"/>
      <c r="H16" s="5" t="n"/>
      <c r="I16" s="6" t="n"/>
      <c r="J16" s="2">
        <f>IF(I16="","",IF(I16&gt;=300,"Alta",IF(I16&gt;=100,"Média","Baixa")))</f>
        <v/>
      </c>
      <c r="K16" s="7" t="n"/>
      <c r="L16" s="7" t="n"/>
      <c r="M16" s="7" t="n"/>
      <c r="N16" s="8" t="n"/>
      <c r="O16" s="9">
        <f>IF(N16="","",N16*'Como usar'!$C$6)</f>
        <v/>
      </c>
      <c r="P16" s="10" t="n"/>
      <c r="Q16" s="11" t="n"/>
      <c r="R16" s="11" t="n"/>
      <c r="S16" s="11" t="n"/>
      <c r="T16" s="7" t="n"/>
      <c r="U16" s="7" t="n"/>
    </row>
    <row r="17">
      <c r="A17" s="2" t="n">
        <v>16</v>
      </c>
      <c r="B17" s="3" t="inlineStr">
        <is>
          <t>Jsk Burgers - Cidade Nova</t>
        </is>
      </c>
      <c r="C17" s="3" t="inlineStr">
        <is>
          <t>Manaus</t>
        </is>
      </c>
      <c r="D17" s="2" t="inlineStr">
        <is>
          <t>AM</t>
        </is>
      </c>
      <c r="E17" s="3" t="inlineStr">
        <is>
          <t>Colônia Santo Antônio</t>
        </is>
      </c>
      <c r="F17" s="4" t="inlineStr">
        <is>
          <t>abrir</t>
        </is>
      </c>
      <c r="G17" s="2" t="inlineStr"/>
      <c r="H17" s="5" t="n"/>
      <c r="I17" s="6" t="n"/>
      <c r="J17" s="2">
        <f>IF(I17="","",IF(I17&gt;=300,"Alta",IF(I17&gt;=100,"Média","Baixa")))</f>
        <v/>
      </c>
      <c r="K17" s="7" t="n"/>
      <c r="L17" s="7" t="n"/>
      <c r="M17" s="7" t="n"/>
      <c r="N17" s="8" t="n"/>
      <c r="O17" s="9">
        <f>IF(N17="","",N17*'Como usar'!$C$6)</f>
        <v/>
      </c>
      <c r="P17" s="10" t="n"/>
      <c r="Q17" s="11" t="n"/>
      <c r="R17" s="11" t="n"/>
      <c r="S17" s="11" t="n"/>
      <c r="T17" s="7" t="n"/>
      <c r="U17" s="7" t="n"/>
    </row>
    <row r="18">
      <c r="A18" s="2" t="n">
        <v>17</v>
      </c>
      <c r="B18" s="3" t="inlineStr">
        <is>
          <t>Santa Brasa Burger House - Djalma</t>
        </is>
      </c>
      <c r="C18" s="3" t="inlineStr">
        <is>
          <t>Manaus</t>
        </is>
      </c>
      <c r="D18" s="2" t="inlineStr">
        <is>
          <t>AM</t>
        </is>
      </c>
      <c r="E18" s="3" t="inlineStr">
        <is>
          <t>Parque 10 de Novembro</t>
        </is>
      </c>
      <c r="F18" s="4" t="inlineStr">
        <is>
          <t>abrir</t>
        </is>
      </c>
      <c r="G18" s="2" t="inlineStr"/>
      <c r="H18" s="5" t="n"/>
      <c r="I18" s="6" t="n"/>
      <c r="J18" s="2">
        <f>IF(I18="","",IF(I18&gt;=300,"Alta",IF(I18&gt;=100,"Média","Baixa")))</f>
        <v/>
      </c>
      <c r="K18" s="7" t="n"/>
      <c r="L18" s="7" t="n"/>
      <c r="M18" s="7" t="n"/>
      <c r="N18" s="8" t="n"/>
      <c r="O18" s="9">
        <f>IF(N18="","",N18*'Como usar'!$C$6)</f>
        <v/>
      </c>
      <c r="P18" s="10" t="n"/>
      <c r="Q18" s="11" t="n"/>
      <c r="R18" s="11" t="n"/>
      <c r="S18" s="11" t="n"/>
      <c r="T18" s="7" t="n"/>
      <c r="U18" s="7" t="n"/>
    </row>
    <row r="19">
      <c r="A19" s="2" t="n">
        <v>18</v>
      </c>
      <c r="B19" s="3" t="inlineStr">
        <is>
          <t>Artesanal Burguer MCP</t>
        </is>
      </c>
      <c r="C19" s="3" t="inlineStr">
        <is>
          <t>Macapá</t>
        </is>
      </c>
      <c r="D19" s="2" t="inlineStr">
        <is>
          <t>AP</t>
        </is>
      </c>
      <c r="E19" s="3" t="inlineStr">
        <is>
          <t>Marabaixo</t>
        </is>
      </c>
      <c r="F19" s="4" t="inlineStr">
        <is>
          <t>abrir</t>
        </is>
      </c>
      <c r="G19" s="2" t="inlineStr"/>
      <c r="H19" s="5" t="n"/>
      <c r="I19" s="6" t="n"/>
      <c r="J19" s="2">
        <f>IF(I19="","",IF(I19&gt;=300,"Alta",IF(I19&gt;=100,"Média","Baixa")))</f>
        <v/>
      </c>
      <c r="K19" s="7" t="n"/>
      <c r="L19" s="7" t="n"/>
      <c r="M19" s="7" t="n"/>
      <c r="N19" s="8" t="n"/>
      <c r="O19" s="9">
        <f>IF(N19="","",N19*'Como usar'!$C$6)</f>
        <v/>
      </c>
      <c r="P19" s="10" t="n"/>
      <c r="Q19" s="11" t="n"/>
      <c r="R19" s="11" t="n"/>
      <c r="S19" s="11" t="n"/>
      <c r="T19" s="7" t="n"/>
      <c r="U19" s="7" t="n"/>
    </row>
    <row r="20">
      <c r="A20" s="2" t="n">
        <v>19</v>
      </c>
      <c r="B20" s="3" t="inlineStr">
        <is>
          <t>Hamburgueria The B Burguer Macapa</t>
        </is>
      </c>
      <c r="C20" s="3" t="inlineStr">
        <is>
          <t>Macapá</t>
        </is>
      </c>
      <c r="D20" s="2" t="inlineStr">
        <is>
          <t>AP</t>
        </is>
      </c>
      <c r="E20" s="3" t="inlineStr">
        <is>
          <t>Universidade</t>
        </is>
      </c>
      <c r="F20" s="4" t="inlineStr">
        <is>
          <t>abrir</t>
        </is>
      </c>
      <c r="G20" s="2" t="inlineStr"/>
      <c r="H20" s="5" t="n"/>
      <c r="I20" s="6" t="n"/>
      <c r="J20" s="2">
        <f>IF(I20="","",IF(I20&gt;=300,"Alta",IF(I20&gt;=100,"Média","Baixa")))</f>
        <v/>
      </c>
      <c r="K20" s="7" t="n"/>
      <c r="L20" s="7" t="n"/>
      <c r="M20" s="7" t="n"/>
      <c r="N20" s="8" t="n"/>
      <c r="O20" s="9">
        <f>IF(N20="","",N20*'Como usar'!$C$6)</f>
        <v/>
      </c>
      <c r="P20" s="10" t="n"/>
      <c r="Q20" s="11" t="n"/>
      <c r="R20" s="11" t="n"/>
      <c r="S20" s="11" t="n"/>
      <c r="T20" s="7" t="n"/>
      <c r="U20" s="7" t="n"/>
    </row>
    <row r="21">
      <c r="A21" s="2" t="n">
        <v>20</v>
      </c>
      <c r="B21" s="3" t="inlineStr">
        <is>
          <t>Homemade Hamburgueria</t>
        </is>
      </c>
      <c r="C21" s="3" t="inlineStr">
        <is>
          <t>Macapá</t>
        </is>
      </c>
      <c r="D21" s="2" t="inlineStr">
        <is>
          <t>AP</t>
        </is>
      </c>
      <c r="E21" s="3" t="inlineStr">
        <is>
          <t>Central</t>
        </is>
      </c>
      <c r="F21" s="4" t="inlineStr">
        <is>
          <t>abrir</t>
        </is>
      </c>
      <c r="G21" s="2" t="inlineStr"/>
      <c r="H21" s="5" t="n"/>
      <c r="I21" s="6" t="n"/>
      <c r="J21" s="2">
        <f>IF(I21="","",IF(I21&gt;=300,"Alta",IF(I21&gt;=100,"Média","Baixa")))</f>
        <v/>
      </c>
      <c r="K21" s="7" t="n"/>
      <c r="L21" s="7" t="n"/>
      <c r="M21" s="7" t="n"/>
      <c r="N21" s="8" t="n"/>
      <c r="O21" s="9">
        <f>IF(N21="","",N21*'Como usar'!$C$6)</f>
        <v/>
      </c>
      <c r="P21" s="10" t="n"/>
      <c r="Q21" s="11" t="n"/>
      <c r="R21" s="11" t="n"/>
      <c r="S21" s="11" t="n"/>
      <c r="T21" s="7" t="n"/>
      <c r="U21" s="7" t="n"/>
    </row>
    <row r="22">
      <c r="A22" s="2" t="n">
        <v>21</v>
      </c>
      <c r="B22" s="3" t="inlineStr">
        <is>
          <t>DK Burger &amp; Bar</t>
        </is>
      </c>
      <c r="C22" s="3" t="inlineStr">
        <is>
          <t>Salvador</t>
        </is>
      </c>
      <c r="D22" s="2" t="inlineStr">
        <is>
          <t>BA</t>
        </is>
      </c>
      <c r="E22" s="3" t="inlineStr">
        <is>
          <t>São Marcos</t>
        </is>
      </c>
      <c r="F22" s="4" t="inlineStr">
        <is>
          <t>abrir</t>
        </is>
      </c>
      <c r="G22" s="2" t="inlineStr"/>
      <c r="H22" s="5" t="n"/>
      <c r="I22" s="6" t="n"/>
      <c r="J22" s="2">
        <f>IF(I22="","",IF(I22&gt;=300,"Alta",IF(I22&gt;=100,"Média","Baixa")))</f>
        <v/>
      </c>
      <c r="K22" s="7" t="n"/>
      <c r="L22" s="7" t="n"/>
      <c r="M22" s="7" t="n"/>
      <c r="N22" s="8" t="n"/>
      <c r="O22" s="9">
        <f>IF(N22="","",N22*'Como usar'!$C$6)</f>
        <v/>
      </c>
      <c r="P22" s="10" t="n"/>
      <c r="Q22" s="11" t="n"/>
      <c r="R22" s="11" t="n"/>
      <c r="S22" s="11" t="n"/>
      <c r="T22" s="7" t="n"/>
      <c r="U22" s="7" t="n"/>
    </row>
    <row r="23">
      <c r="A23" s="2" t="n">
        <v>22</v>
      </c>
      <c r="B23" s="3" t="inlineStr">
        <is>
          <t>Good Food Burguer</t>
        </is>
      </c>
      <c r="C23" s="3" t="inlineStr">
        <is>
          <t>Salvador</t>
        </is>
      </c>
      <c r="D23" s="2" t="inlineStr">
        <is>
          <t>BA</t>
        </is>
      </c>
      <c r="E23" s="3" t="inlineStr">
        <is>
          <t>Brotas</t>
        </is>
      </c>
      <c r="F23" s="4" t="inlineStr">
        <is>
          <t>abrir</t>
        </is>
      </c>
      <c r="G23" s="2" t="inlineStr"/>
      <c r="H23" s="5" t="n"/>
      <c r="I23" s="6" t="n"/>
      <c r="J23" s="2">
        <f>IF(I23="","",IF(I23&gt;=300,"Alta",IF(I23&gt;=100,"Média","Baixa")))</f>
        <v/>
      </c>
      <c r="K23" s="7" t="n"/>
      <c r="L23" s="7" t="n"/>
      <c r="M23" s="7" t="n"/>
      <c r="N23" s="8" t="n"/>
      <c r="O23" s="9">
        <f>IF(N23="","",N23*'Como usar'!$C$6)</f>
        <v/>
      </c>
      <c r="P23" s="10" t="n"/>
      <c r="Q23" s="11" t="n"/>
      <c r="R23" s="11" t="n"/>
      <c r="S23" s="11" t="n"/>
      <c r="T23" s="7" t="n"/>
      <c r="U23" s="7" t="n"/>
    </row>
    <row r="24">
      <c r="A24" s="2" t="n">
        <v>23</v>
      </c>
      <c r="B24" s="3" t="inlineStr">
        <is>
          <t>Gs Burger</t>
        </is>
      </c>
      <c r="C24" s="3" t="inlineStr">
        <is>
          <t>Salvador</t>
        </is>
      </c>
      <c r="D24" s="2" t="inlineStr">
        <is>
          <t>BA</t>
        </is>
      </c>
      <c r="E24" s="3" t="inlineStr">
        <is>
          <t>Dom Avelar</t>
        </is>
      </c>
      <c r="F24" s="4" t="inlineStr">
        <is>
          <t>abrir</t>
        </is>
      </c>
      <c r="G24" s="2" t="inlineStr"/>
      <c r="H24" s="5" t="n"/>
      <c r="I24" s="6" t="n"/>
      <c r="J24" s="2">
        <f>IF(I24="","",IF(I24&gt;=300,"Alta",IF(I24&gt;=100,"Média","Baixa")))</f>
        <v/>
      </c>
      <c r="K24" s="7" t="n"/>
      <c r="L24" s="7" t="n"/>
      <c r="M24" s="7" t="n"/>
      <c r="N24" s="8" t="n"/>
      <c r="O24" s="9">
        <f>IF(N24="","",N24*'Como usar'!$C$6)</f>
        <v/>
      </c>
      <c r="P24" s="10" t="n"/>
      <c r="Q24" s="11" t="n"/>
      <c r="R24" s="11" t="n"/>
      <c r="S24" s="11" t="n"/>
      <c r="T24" s="7" t="n"/>
      <c r="U24" s="7" t="n"/>
    </row>
    <row r="25">
      <c r="A25" s="2" t="n">
        <v>24</v>
      </c>
      <c r="B25" s="3" t="inlineStr">
        <is>
          <t>Oxe! Burger - Hamburgueria Artesanal</t>
        </is>
      </c>
      <c r="C25" s="3" t="inlineStr">
        <is>
          <t>Salvador</t>
        </is>
      </c>
      <c r="D25" s="2" t="inlineStr">
        <is>
          <t>BA</t>
        </is>
      </c>
      <c r="E25" s="3" t="inlineStr">
        <is>
          <t>Novo Horizonte</t>
        </is>
      </c>
      <c r="F25" s="4" t="inlineStr">
        <is>
          <t>abrir</t>
        </is>
      </c>
      <c r="G25" s="2" t="inlineStr"/>
      <c r="H25" s="5" t="n"/>
      <c r="I25" s="6" t="n"/>
      <c r="J25" s="2">
        <f>IF(I25="","",IF(I25&gt;=300,"Alta",IF(I25&gt;=100,"Média","Baixa")))</f>
        <v/>
      </c>
      <c r="K25" s="7" t="n"/>
      <c r="L25" s="7" t="n"/>
      <c r="M25" s="7" t="n"/>
      <c r="N25" s="8" t="n"/>
      <c r="O25" s="9">
        <f>IF(N25="","",N25*'Como usar'!$C$6)</f>
        <v/>
      </c>
      <c r="P25" s="10" t="n"/>
      <c r="Q25" s="11" t="n"/>
      <c r="R25" s="11" t="n"/>
      <c r="S25" s="11" t="n"/>
      <c r="T25" s="7" t="n"/>
      <c r="U25" s="7" t="n"/>
    </row>
    <row r="26">
      <c r="A26" s="2" t="n">
        <v>25</v>
      </c>
      <c r="B26" s="3" t="inlineStr">
        <is>
          <t>Seltc's Burger</t>
        </is>
      </c>
      <c r="C26" s="3" t="inlineStr">
        <is>
          <t>Salvador</t>
        </is>
      </c>
      <c r="D26" s="2" t="inlineStr">
        <is>
          <t>BA</t>
        </is>
      </c>
      <c r="E26" s="3" t="inlineStr">
        <is>
          <t>Matatu</t>
        </is>
      </c>
      <c r="F26" s="4" t="inlineStr">
        <is>
          <t>abrir</t>
        </is>
      </c>
      <c r="G26" s="2" t="inlineStr"/>
      <c r="H26" s="5" t="n"/>
      <c r="I26" s="6" t="n"/>
      <c r="J26" s="2">
        <f>IF(I26="","",IF(I26&gt;=300,"Alta",IF(I26&gt;=100,"Média","Baixa")))</f>
        <v/>
      </c>
      <c r="K26" s="7" t="n"/>
      <c r="L26" s="7" t="n"/>
      <c r="M26" s="7" t="n"/>
      <c r="N26" s="8" t="n"/>
      <c r="O26" s="9">
        <f>IF(N26="","",N26*'Como usar'!$C$6)</f>
        <v/>
      </c>
      <c r="P26" s="10" t="n"/>
      <c r="Q26" s="11" t="n"/>
      <c r="R26" s="11" t="n"/>
      <c r="S26" s="11" t="n"/>
      <c r="T26" s="7" t="n"/>
      <c r="U26" s="7" t="n"/>
    </row>
    <row r="27">
      <c r="A27" s="2" t="n">
        <v>26</v>
      </c>
      <c r="B27" s="3" t="inlineStr">
        <is>
          <t>4burger - Ultra Smash Burger</t>
        </is>
      </c>
      <c r="C27" s="3" t="inlineStr">
        <is>
          <t>Fortaleza</t>
        </is>
      </c>
      <c r="D27" s="2" t="inlineStr">
        <is>
          <t>CE</t>
        </is>
      </c>
      <c r="E27" s="3" t="inlineStr">
        <is>
          <t>José Bonifácio</t>
        </is>
      </c>
      <c r="F27" s="4" t="inlineStr">
        <is>
          <t>abrir</t>
        </is>
      </c>
      <c r="G27" s="2" t="inlineStr"/>
      <c r="H27" s="5" t="n"/>
      <c r="I27" s="6" t="n"/>
      <c r="J27" s="2">
        <f>IF(I27="","",IF(I27&gt;=300,"Alta",IF(I27&gt;=100,"Média","Baixa")))</f>
        <v/>
      </c>
      <c r="K27" s="7" t="n"/>
      <c r="L27" s="7" t="n"/>
      <c r="M27" s="7" t="n"/>
      <c r="N27" s="8" t="n"/>
      <c r="O27" s="9">
        <f>IF(N27="","",N27*'Como usar'!$C$6)</f>
        <v/>
      </c>
      <c r="P27" s="10" t="n"/>
      <c r="Q27" s="11" t="n"/>
      <c r="R27" s="11" t="n"/>
      <c r="S27" s="11" t="n"/>
      <c r="T27" s="7" t="n"/>
      <c r="U27" s="7" t="n"/>
    </row>
    <row r="28">
      <c r="A28" s="2" t="n">
        <v>27</v>
      </c>
      <c r="B28" s="3" t="inlineStr">
        <is>
          <t>A Banca Hamburgueria</t>
        </is>
      </c>
      <c r="C28" s="3" t="inlineStr">
        <is>
          <t>Fortaleza</t>
        </is>
      </c>
      <c r="D28" s="2" t="inlineStr">
        <is>
          <t>CE</t>
        </is>
      </c>
      <c r="E28" s="3" t="inlineStr">
        <is>
          <t>Cristo Redentor</t>
        </is>
      </c>
      <c r="F28" s="4" t="inlineStr">
        <is>
          <t>abrir</t>
        </is>
      </c>
      <c r="G28" s="2" t="inlineStr"/>
      <c r="H28" s="5" t="n"/>
      <c r="I28" s="6" t="n"/>
      <c r="J28" s="2">
        <f>IF(I28="","",IF(I28&gt;=300,"Alta",IF(I28&gt;=100,"Média","Baixa")))</f>
        <v/>
      </c>
      <c r="K28" s="7" t="n"/>
      <c r="L28" s="7" t="n"/>
      <c r="M28" s="7" t="n"/>
      <c r="N28" s="8" t="n"/>
      <c r="O28" s="9">
        <f>IF(N28="","",N28*'Como usar'!$C$6)</f>
        <v/>
      </c>
      <c r="P28" s="10" t="n"/>
      <c r="Q28" s="11" t="n"/>
      <c r="R28" s="11" t="n"/>
      <c r="S28" s="11" t="n"/>
      <c r="T28" s="7" t="n"/>
      <c r="U28" s="7" t="n"/>
    </row>
    <row r="29">
      <c r="A29" s="2" t="n">
        <v>28</v>
      </c>
      <c r="B29" s="3" t="inlineStr">
        <is>
          <t>Double Trouble Burger - Smash</t>
        </is>
      </c>
      <c r="C29" s="3" t="inlineStr">
        <is>
          <t>Fortaleza</t>
        </is>
      </c>
      <c r="D29" s="2" t="inlineStr">
        <is>
          <t>CE</t>
        </is>
      </c>
      <c r="E29" s="3" t="inlineStr">
        <is>
          <t>Guararapes</t>
        </is>
      </c>
      <c r="F29" s="4" t="inlineStr">
        <is>
          <t>abrir</t>
        </is>
      </c>
      <c r="G29" s="2" t="inlineStr"/>
      <c r="H29" s="5" t="n"/>
      <c r="I29" s="6" t="n"/>
      <c r="J29" s="2">
        <f>IF(I29="","",IF(I29&gt;=300,"Alta",IF(I29&gt;=100,"Média","Baixa")))</f>
        <v/>
      </c>
      <c r="K29" s="7" t="n"/>
      <c r="L29" s="7" t="n"/>
      <c r="M29" s="7" t="n"/>
      <c r="N29" s="8" t="n"/>
      <c r="O29" s="9">
        <f>IF(N29="","",N29*'Como usar'!$C$6)</f>
        <v/>
      </c>
      <c r="P29" s="10" t="n"/>
      <c r="Q29" s="11" t="n"/>
      <c r="R29" s="11" t="n"/>
      <c r="S29" s="11" t="n"/>
      <c r="T29" s="7" t="n"/>
      <c r="U29" s="7" t="n"/>
    </row>
    <row r="30">
      <c r="A30" s="2" t="n">
        <v>29</v>
      </c>
      <c r="B30" s="3" t="inlineStr">
        <is>
          <t>HAMBURGUERIA 88 (Burger Artesanal &amp; Smash Burguer)</t>
        </is>
      </c>
      <c r="C30" s="3" t="inlineStr">
        <is>
          <t>Fortaleza</t>
        </is>
      </c>
      <c r="D30" s="2" t="inlineStr">
        <is>
          <t>CE</t>
        </is>
      </c>
      <c r="E30" s="3" t="inlineStr">
        <is>
          <t>Parquelândia</t>
        </is>
      </c>
      <c r="F30" s="4" t="inlineStr">
        <is>
          <t>abrir</t>
        </is>
      </c>
      <c r="G30" s="2" t="inlineStr"/>
      <c r="H30" s="5" t="n"/>
      <c r="I30" s="6" t="n"/>
      <c r="J30" s="2">
        <f>IF(I30="","",IF(I30&gt;=300,"Alta",IF(I30&gt;=100,"Média","Baixa")))</f>
        <v/>
      </c>
      <c r="K30" s="7" t="n"/>
      <c r="L30" s="7" t="n"/>
      <c r="M30" s="7" t="n"/>
      <c r="N30" s="8" t="n"/>
      <c r="O30" s="9">
        <f>IF(N30="","",N30*'Como usar'!$C$6)</f>
        <v/>
      </c>
      <c r="P30" s="10" t="n"/>
      <c r="Q30" s="11" t="n"/>
      <c r="R30" s="11" t="n"/>
      <c r="S30" s="11" t="n"/>
      <c r="T30" s="7" t="n"/>
      <c r="U30" s="7" t="n"/>
    </row>
    <row r="31">
      <c r="A31" s="2" t="n">
        <v>30</v>
      </c>
      <c r="B31" s="3" t="inlineStr">
        <is>
          <t>Hook Smash Burger</t>
        </is>
      </c>
      <c r="C31" s="3" t="inlineStr">
        <is>
          <t>Fortaleza</t>
        </is>
      </c>
      <c r="D31" s="2" t="inlineStr">
        <is>
          <t>CE</t>
        </is>
      </c>
      <c r="E31" s="3" t="inlineStr">
        <is>
          <t>Aldeota</t>
        </is>
      </c>
      <c r="F31" s="4" t="inlineStr">
        <is>
          <t>abrir</t>
        </is>
      </c>
      <c r="G31" s="2" t="inlineStr"/>
      <c r="H31" s="5" t="n"/>
      <c r="I31" s="6" t="n"/>
      <c r="J31" s="2">
        <f>IF(I31="","",IF(I31&gt;=300,"Alta",IF(I31&gt;=100,"Média","Baixa")))</f>
        <v/>
      </c>
      <c r="K31" s="7" t="n"/>
      <c r="L31" s="7" t="n"/>
      <c r="M31" s="7" t="n"/>
      <c r="N31" s="8" t="n"/>
      <c r="O31" s="9">
        <f>IF(N31="","",N31*'Como usar'!$C$6)</f>
        <v/>
      </c>
      <c r="P31" s="10" t="n"/>
      <c r="Q31" s="11" t="n"/>
      <c r="R31" s="11" t="n"/>
      <c r="S31" s="11" t="n"/>
      <c r="T31" s="7" t="n"/>
      <c r="U31" s="7" t="n"/>
    </row>
    <row r="32">
      <c r="A32" s="2" t="n">
        <v>31</v>
      </c>
      <c r="B32" s="3" t="inlineStr">
        <is>
          <t>Porpino Burger</t>
        </is>
      </c>
      <c r="C32" s="3" t="inlineStr">
        <is>
          <t>Fortaleza</t>
        </is>
      </c>
      <c r="D32" s="2" t="inlineStr">
        <is>
          <t>CE</t>
        </is>
      </c>
      <c r="E32" s="3" t="inlineStr">
        <is>
          <t>Meireles</t>
        </is>
      </c>
      <c r="F32" s="4" t="inlineStr">
        <is>
          <t>abrir</t>
        </is>
      </c>
      <c r="G32" s="2" t="inlineStr">
        <is>
          <t>Sim</t>
        </is>
      </c>
      <c r="H32" s="5" t="n"/>
      <c r="I32" s="6" t="n"/>
      <c r="J32" s="2">
        <f>IF(I32="","",IF(I32&gt;=300,"Alta",IF(I32&gt;=100,"Média","Baixa")))</f>
        <v/>
      </c>
      <c r="K32" s="7" t="n"/>
      <c r="L32" s="7" t="n"/>
      <c r="M32" s="7" t="n"/>
      <c r="N32" s="8" t="n"/>
      <c r="O32" s="9">
        <f>IF(N32="","",N32*'Como usar'!$C$6)</f>
        <v/>
      </c>
      <c r="P32" s="10" t="n"/>
      <c r="Q32" s="11" t="n"/>
      <c r="R32" s="11" t="n"/>
      <c r="S32" s="11" t="n"/>
      <c r="T32" s="7" t="n"/>
      <c r="U32" s="7" t="n"/>
    </row>
    <row r="33">
      <c r="A33" s="2" t="n">
        <v>32</v>
      </c>
      <c r="B33" s="3" t="inlineStr">
        <is>
          <t>Seu Chefe Hamburgueria Maraponga</t>
        </is>
      </c>
      <c r="C33" s="3" t="inlineStr">
        <is>
          <t>Fortaleza</t>
        </is>
      </c>
      <c r="D33" s="2" t="inlineStr">
        <is>
          <t>CE</t>
        </is>
      </c>
      <c r="E33" s="3" t="inlineStr">
        <is>
          <t>Jardim Cearense</t>
        </is>
      </c>
      <c r="F33" s="4" t="inlineStr">
        <is>
          <t>abrir</t>
        </is>
      </c>
      <c r="G33" s="2" t="inlineStr"/>
      <c r="H33" s="5" t="n"/>
      <c r="I33" s="6" t="n"/>
      <c r="J33" s="2">
        <f>IF(I33="","",IF(I33&gt;=300,"Alta",IF(I33&gt;=100,"Média","Baixa")))</f>
        <v/>
      </c>
      <c r="K33" s="7" t="n"/>
      <c r="L33" s="7" t="n"/>
      <c r="M33" s="7" t="n"/>
      <c r="N33" s="8" t="n"/>
      <c r="O33" s="9">
        <f>IF(N33="","",N33*'Como usar'!$C$6)</f>
        <v/>
      </c>
      <c r="P33" s="10" t="n"/>
      <c r="Q33" s="11" t="n"/>
      <c r="R33" s="11" t="n"/>
      <c r="S33" s="11" t="n"/>
      <c r="T33" s="7" t="n"/>
      <c r="U33" s="7" t="n"/>
    </row>
    <row r="34">
      <c r="A34" s="2" t="n">
        <v>33</v>
      </c>
      <c r="B34" s="3" t="inlineStr">
        <is>
          <t>The Burger - Smash &amp; Combos Baratos!</t>
        </is>
      </c>
      <c r="C34" s="3" t="inlineStr">
        <is>
          <t>Fortaleza</t>
        </is>
      </c>
      <c r="D34" s="2" t="inlineStr">
        <is>
          <t>CE</t>
        </is>
      </c>
      <c r="E34" s="3" t="inlineStr">
        <is>
          <t>Lagoa Sapiranga Coité</t>
        </is>
      </c>
      <c r="F34" s="4" t="inlineStr">
        <is>
          <t>abrir</t>
        </is>
      </c>
      <c r="G34" s="2" t="inlineStr"/>
      <c r="H34" s="5" t="n"/>
      <c r="I34" s="6" t="n"/>
      <c r="J34" s="2">
        <f>IF(I34="","",IF(I34&gt;=300,"Alta",IF(I34&gt;=100,"Média","Baixa")))</f>
        <v/>
      </c>
      <c r="K34" s="7" t="n"/>
      <c r="L34" s="7" t="n"/>
      <c r="M34" s="7" t="n"/>
      <c r="N34" s="8" t="n"/>
      <c r="O34" s="9">
        <f>IF(N34="","",N34*'Como usar'!$C$6)</f>
        <v/>
      </c>
      <c r="P34" s="10" t="n"/>
      <c r="Q34" s="11" t="n"/>
      <c r="R34" s="11" t="n"/>
      <c r="S34" s="11" t="n"/>
      <c r="T34" s="7" t="n"/>
      <c r="U34" s="7" t="n"/>
    </row>
    <row r="35">
      <c r="A35" s="2" t="n">
        <v>34</v>
      </c>
      <c r="B35" s="3" t="inlineStr">
        <is>
          <t>Zack Smash's</t>
        </is>
      </c>
      <c r="C35" s="3" t="inlineStr">
        <is>
          <t>Fortaleza</t>
        </is>
      </c>
      <c r="D35" s="2" t="inlineStr">
        <is>
          <t>CE</t>
        </is>
      </c>
      <c r="E35" s="3" t="inlineStr">
        <is>
          <t>Dionísio Torres</t>
        </is>
      </c>
      <c r="F35" s="4" t="inlineStr">
        <is>
          <t>abrir</t>
        </is>
      </c>
      <c r="G35" s="2" t="inlineStr"/>
      <c r="H35" s="5" t="n"/>
      <c r="I35" s="6" t="n"/>
      <c r="J35" s="2">
        <f>IF(I35="","",IF(I35&gt;=300,"Alta",IF(I35&gt;=100,"Média","Baixa")))</f>
        <v/>
      </c>
      <c r="K35" s="7" t="n"/>
      <c r="L35" s="7" t="n"/>
      <c r="M35" s="7" t="n"/>
      <c r="N35" s="8" t="n"/>
      <c r="O35" s="9">
        <f>IF(N35="","",N35*'Como usar'!$C$6)</f>
        <v/>
      </c>
      <c r="P35" s="10" t="n"/>
      <c r="Q35" s="11" t="n"/>
      <c r="R35" s="11" t="n"/>
      <c r="S35" s="11" t="n"/>
      <c r="T35" s="7" t="n"/>
      <c r="U35" s="7" t="n"/>
    </row>
    <row r="36">
      <c r="A36" s="2" t="n">
        <v>35</v>
      </c>
      <c r="B36" s="3" t="inlineStr">
        <is>
          <t>061 Bbq &amp; Burger - Hamburgueria</t>
        </is>
      </c>
      <c r="C36" s="3" t="inlineStr">
        <is>
          <t>Brasília</t>
        </is>
      </c>
      <c r="D36" s="2" t="inlineStr">
        <is>
          <t>DF</t>
        </is>
      </c>
      <c r="E36" s="3" t="inlineStr">
        <is>
          <t>Vicente Pires</t>
        </is>
      </c>
      <c r="F36" s="4" t="inlineStr">
        <is>
          <t>abrir</t>
        </is>
      </c>
      <c r="G36" s="2" t="inlineStr"/>
      <c r="H36" s="5" t="n"/>
      <c r="I36" s="6" t="n"/>
      <c r="J36" s="2">
        <f>IF(I36="","",IF(I36&gt;=300,"Alta",IF(I36&gt;=100,"Média","Baixa")))</f>
        <v/>
      </c>
      <c r="K36" s="7" t="n"/>
      <c r="L36" s="7" t="n"/>
      <c r="M36" s="7" t="n"/>
      <c r="N36" s="8" t="n"/>
      <c r="O36" s="9">
        <f>IF(N36="","",N36*'Como usar'!$C$6)</f>
        <v/>
      </c>
      <c r="P36" s="10" t="n"/>
      <c r="Q36" s="11" t="n"/>
      <c r="R36" s="11" t="n"/>
      <c r="S36" s="11" t="n"/>
      <c r="T36" s="7" t="n"/>
      <c r="U36" s="7" t="n"/>
    </row>
    <row r="37">
      <c r="A37" s="2" t="n">
        <v>36</v>
      </c>
      <c r="B37" s="3" t="inlineStr">
        <is>
          <t>Prediletto Smash Burguer</t>
        </is>
      </c>
      <c r="C37" s="3" t="inlineStr">
        <is>
          <t>Brasília</t>
        </is>
      </c>
      <c r="D37" s="2" t="inlineStr">
        <is>
          <t>DF</t>
        </is>
      </c>
      <c r="E37" s="3" t="inlineStr">
        <is>
          <t>Samambaia Norte</t>
        </is>
      </c>
      <c r="F37" s="4" t="inlineStr">
        <is>
          <t>abrir</t>
        </is>
      </c>
      <c r="G37" s="2" t="inlineStr"/>
      <c r="H37" s="5" t="n"/>
      <c r="I37" s="6" t="n"/>
      <c r="J37" s="2">
        <f>IF(I37="","",IF(I37&gt;=300,"Alta",IF(I37&gt;=100,"Média","Baixa")))</f>
        <v/>
      </c>
      <c r="K37" s="7" t="n"/>
      <c r="L37" s="7" t="n"/>
      <c r="M37" s="7" t="n"/>
      <c r="N37" s="8" t="n"/>
      <c r="O37" s="9">
        <f>IF(N37="","",N37*'Como usar'!$C$6)</f>
        <v/>
      </c>
      <c r="P37" s="10" t="n"/>
      <c r="Q37" s="11" t="n"/>
      <c r="R37" s="11" t="n"/>
      <c r="S37" s="11" t="n"/>
      <c r="T37" s="7" t="n"/>
      <c r="U37" s="7" t="n"/>
    </row>
    <row r="38">
      <c r="A38" s="2" t="n">
        <v>37</v>
      </c>
      <c r="B38" s="3" t="inlineStr">
        <is>
          <t>Pão Recheado Hamburgueria - Samambaia Norte</t>
        </is>
      </c>
      <c r="C38" s="3" t="inlineStr">
        <is>
          <t>Brasília</t>
        </is>
      </c>
      <c r="D38" s="2" t="inlineStr">
        <is>
          <t>DF</t>
        </is>
      </c>
      <c r="E38" s="3" t="inlineStr">
        <is>
          <t>Samambaia Norte</t>
        </is>
      </c>
      <c r="F38" s="4" t="inlineStr">
        <is>
          <t>abrir</t>
        </is>
      </c>
      <c r="G38" s="2" t="inlineStr"/>
      <c r="H38" s="5" t="n"/>
      <c r="I38" s="6" t="n"/>
      <c r="J38" s="2">
        <f>IF(I38="","",IF(I38&gt;=300,"Alta",IF(I38&gt;=100,"Média","Baixa")))</f>
        <v/>
      </c>
      <c r="K38" s="7" t="n"/>
      <c r="L38" s="7" t="n"/>
      <c r="M38" s="7" t="n"/>
      <c r="N38" s="8" t="n"/>
      <c r="O38" s="9">
        <f>IF(N38="","",N38*'Como usar'!$C$6)</f>
        <v/>
      </c>
      <c r="P38" s="10" t="n"/>
      <c r="Q38" s="11" t="n"/>
      <c r="R38" s="11" t="n"/>
      <c r="S38" s="11" t="n"/>
      <c r="T38" s="7" t="n"/>
      <c r="U38" s="7" t="n"/>
    </row>
    <row r="39">
      <c r="A39" s="2" t="n">
        <v>38</v>
      </c>
      <c r="B39" s="3" t="inlineStr">
        <is>
          <t>Smash Burger Bsb</t>
        </is>
      </c>
      <c r="C39" s="3" t="inlineStr">
        <is>
          <t>Brasília</t>
        </is>
      </c>
      <c r="D39" s="2" t="inlineStr">
        <is>
          <t>DF</t>
        </is>
      </c>
      <c r="E39" s="3" t="inlineStr">
        <is>
          <t>Asa Norte</t>
        </is>
      </c>
      <c r="F39" s="4" t="inlineStr">
        <is>
          <t>abrir</t>
        </is>
      </c>
      <c r="G39" s="2" t="inlineStr"/>
      <c r="H39" s="5" t="n"/>
      <c r="I39" s="6" t="n"/>
      <c r="J39" s="2">
        <f>IF(I39="","",IF(I39&gt;=300,"Alta",IF(I39&gt;=100,"Média","Baixa")))</f>
        <v/>
      </c>
      <c r="K39" s="7" t="n"/>
      <c r="L39" s="7" t="n"/>
      <c r="M39" s="7" t="n"/>
      <c r="N39" s="8" t="n"/>
      <c r="O39" s="9">
        <f>IF(N39="","",N39*'Como usar'!$C$6)</f>
        <v/>
      </c>
      <c r="P39" s="10" t="n"/>
      <c r="Q39" s="11" t="n"/>
      <c r="R39" s="11" t="n"/>
      <c r="S39" s="11" t="n"/>
      <c r="T39" s="7" t="n"/>
      <c r="U39" s="7" t="n"/>
    </row>
    <row r="40">
      <c r="A40" s="2" t="n">
        <v>39</v>
      </c>
      <c r="B40" s="3" t="inlineStr">
        <is>
          <t>Spot Burgers: Sudoeste</t>
        </is>
      </c>
      <c r="C40" s="3" t="inlineStr">
        <is>
          <t>Brasília</t>
        </is>
      </c>
      <c r="D40" s="2" t="inlineStr">
        <is>
          <t>DF</t>
        </is>
      </c>
      <c r="E40" s="3" t="inlineStr">
        <is>
          <t>Setor Sudoeste</t>
        </is>
      </c>
      <c r="F40" s="4" t="inlineStr">
        <is>
          <t>abrir</t>
        </is>
      </c>
      <c r="G40" s="2" t="inlineStr"/>
      <c r="H40" s="5" t="n"/>
      <c r="I40" s="6" t="n"/>
      <c r="J40" s="2">
        <f>IF(I40="","",IF(I40&gt;=300,"Alta",IF(I40&gt;=100,"Média","Baixa")))</f>
        <v/>
      </c>
      <c r="K40" s="7" t="n"/>
      <c r="L40" s="7" t="n"/>
      <c r="M40" s="7" t="n"/>
      <c r="N40" s="8" t="n"/>
      <c r="O40" s="9">
        <f>IF(N40="","",N40*'Como usar'!$C$6)</f>
        <v/>
      </c>
      <c r="P40" s="10" t="n"/>
      <c r="Q40" s="11" t="n"/>
      <c r="R40" s="11" t="n"/>
      <c r="S40" s="11" t="n"/>
      <c r="T40" s="7" t="n"/>
      <c r="U40" s="7" t="n"/>
    </row>
    <row r="41">
      <c r="A41" s="2" t="n">
        <v>40</v>
      </c>
      <c r="B41" s="3" t="inlineStr">
        <is>
          <t>Starbulls Hamburgueria - Steak e Burguer</t>
        </is>
      </c>
      <c r="C41" s="3" t="inlineStr">
        <is>
          <t>Brasília</t>
        </is>
      </c>
      <c r="D41" s="2" t="inlineStr">
        <is>
          <t>DF</t>
        </is>
      </c>
      <c r="E41" s="3" t="inlineStr">
        <is>
          <t>Recanto das Emas</t>
        </is>
      </c>
      <c r="F41" s="4" t="inlineStr">
        <is>
          <t>abrir</t>
        </is>
      </c>
      <c r="G41" s="2" t="inlineStr"/>
      <c r="H41" s="5" t="n"/>
      <c r="I41" s="6" t="n"/>
      <c r="J41" s="2">
        <f>IF(I41="","",IF(I41&gt;=300,"Alta",IF(I41&gt;=100,"Média","Baixa")))</f>
        <v/>
      </c>
      <c r="K41" s="7" t="n"/>
      <c r="L41" s="7" t="n"/>
      <c r="M41" s="7" t="n"/>
      <c r="N41" s="8" t="n"/>
      <c r="O41" s="9">
        <f>IF(N41="","",N41*'Como usar'!$C$6)</f>
        <v/>
      </c>
      <c r="P41" s="10" t="n"/>
      <c r="Q41" s="11" t="n"/>
      <c r="R41" s="11" t="n"/>
      <c r="S41" s="11" t="n"/>
      <c r="T41" s="7" t="n"/>
      <c r="U41" s="7" t="n"/>
    </row>
    <row r="42">
      <c r="A42" s="2" t="n">
        <v>41</v>
      </c>
      <c r="B42" s="3" t="inlineStr">
        <is>
          <t>Casa Burger Vila Velha - Hamburgueria</t>
        </is>
      </c>
      <c r="C42" s="3" t="inlineStr">
        <is>
          <t>Vila Velha</t>
        </is>
      </c>
      <c r="D42" s="2" t="inlineStr">
        <is>
          <t>ES</t>
        </is>
      </c>
      <c r="E42" s="3" t="inlineStr">
        <is>
          <t>Itapuã</t>
        </is>
      </c>
      <c r="F42" s="4" t="inlineStr">
        <is>
          <t>abrir</t>
        </is>
      </c>
      <c r="G42" s="2" t="inlineStr"/>
      <c r="H42" s="5" t="n"/>
      <c r="I42" s="6" t="n"/>
      <c r="J42" s="2">
        <f>IF(I42="","",IF(I42&gt;=300,"Alta",IF(I42&gt;=100,"Média","Baixa")))</f>
        <v/>
      </c>
      <c r="K42" s="7" t="n"/>
      <c r="L42" s="7" t="n"/>
      <c r="M42" s="7" t="n"/>
      <c r="N42" s="8" t="n"/>
      <c r="O42" s="9">
        <f>IF(N42="","",N42*'Como usar'!$C$6)</f>
        <v/>
      </c>
      <c r="P42" s="10" t="n"/>
      <c r="Q42" s="11" t="n"/>
      <c r="R42" s="11" t="n"/>
      <c r="S42" s="11" t="n"/>
      <c r="T42" s="7" t="n"/>
      <c r="U42" s="7" t="n"/>
    </row>
    <row r="43">
      <c r="A43" s="2" t="n">
        <v>42</v>
      </c>
      <c r="B43" s="3" t="inlineStr">
        <is>
          <t>Favela Burger Delivery</t>
        </is>
      </c>
      <c r="C43" s="3" t="inlineStr">
        <is>
          <t>Vila Velha</t>
        </is>
      </c>
      <c r="D43" s="2" t="inlineStr">
        <is>
          <t>ES</t>
        </is>
      </c>
      <c r="E43" s="3" t="inlineStr">
        <is>
          <t>Novo México</t>
        </is>
      </c>
      <c r="F43" s="4" t="inlineStr">
        <is>
          <t>abrir</t>
        </is>
      </c>
      <c r="G43" s="2" t="inlineStr"/>
      <c r="H43" s="5" t="n"/>
      <c r="I43" s="6" t="n"/>
      <c r="J43" s="2">
        <f>IF(I43="","",IF(I43&gt;=300,"Alta",IF(I43&gt;=100,"Média","Baixa")))</f>
        <v/>
      </c>
      <c r="K43" s="7" t="n"/>
      <c r="L43" s="7" t="n"/>
      <c r="M43" s="7" t="n"/>
      <c r="N43" s="8" t="n"/>
      <c r="O43" s="9">
        <f>IF(N43="","",N43*'Como usar'!$C$6)</f>
        <v/>
      </c>
      <c r="P43" s="10" t="n"/>
      <c r="Q43" s="11" t="n"/>
      <c r="R43" s="11" t="n"/>
      <c r="S43" s="11" t="n"/>
      <c r="T43" s="7" t="n"/>
      <c r="U43" s="7" t="n"/>
    </row>
    <row r="44">
      <c r="A44" s="2" t="n">
        <v>43</v>
      </c>
      <c r="B44" s="3" t="inlineStr">
        <is>
          <t>Show Burger Hamburgueria Artesanal</t>
        </is>
      </c>
      <c r="C44" s="3" t="inlineStr">
        <is>
          <t>Vila Velha</t>
        </is>
      </c>
      <c r="D44" s="2" t="inlineStr">
        <is>
          <t>ES</t>
        </is>
      </c>
      <c r="E44" s="3" t="inlineStr">
        <is>
          <t>Praia de Itaparica</t>
        </is>
      </c>
      <c r="F44" s="4" t="inlineStr">
        <is>
          <t>abrir</t>
        </is>
      </c>
      <c r="G44" s="2" t="inlineStr"/>
      <c r="H44" s="5" t="n"/>
      <c r="I44" s="6" t="n"/>
      <c r="J44" s="2">
        <f>IF(I44="","",IF(I44&gt;=300,"Alta",IF(I44&gt;=100,"Média","Baixa")))</f>
        <v/>
      </c>
      <c r="K44" s="7" t="n"/>
      <c r="L44" s="7" t="n"/>
      <c r="M44" s="7" t="n"/>
      <c r="N44" s="8" t="n"/>
      <c r="O44" s="9">
        <f>IF(N44="","",N44*'Como usar'!$C$6)</f>
        <v/>
      </c>
      <c r="P44" s="10" t="n"/>
      <c r="Q44" s="11" t="n"/>
      <c r="R44" s="11" t="n"/>
      <c r="S44" s="11" t="n"/>
      <c r="T44" s="7" t="n"/>
      <c r="U44" s="7" t="n"/>
    </row>
    <row r="45">
      <c r="A45" s="2" t="n">
        <v>44</v>
      </c>
      <c r="B45" s="3" t="inlineStr">
        <is>
          <t>Victoria Burger - Vila Velha</t>
        </is>
      </c>
      <c r="C45" s="3" t="inlineStr">
        <is>
          <t>Vila Velha</t>
        </is>
      </c>
      <c r="D45" s="2" t="inlineStr">
        <is>
          <t>ES</t>
        </is>
      </c>
      <c r="E45" s="3" t="inlineStr">
        <is>
          <t>Praia da Costa</t>
        </is>
      </c>
      <c r="F45" s="4" t="inlineStr">
        <is>
          <t>abrir</t>
        </is>
      </c>
      <c r="G45" s="2" t="inlineStr"/>
      <c r="H45" s="5" t="n"/>
      <c r="I45" s="6" t="n"/>
      <c r="J45" s="2">
        <f>IF(I45="","",IF(I45&gt;=300,"Alta",IF(I45&gt;=100,"Média","Baixa")))</f>
        <v/>
      </c>
      <c r="K45" s="7" t="n"/>
      <c r="L45" s="7" t="n"/>
      <c r="M45" s="7" t="n"/>
      <c r="N45" s="8" t="n"/>
      <c r="O45" s="9">
        <f>IF(N45="","",N45*'Como usar'!$C$6)</f>
        <v/>
      </c>
      <c r="P45" s="10" t="n"/>
      <c r="Q45" s="11" t="n"/>
      <c r="R45" s="11" t="n"/>
      <c r="S45" s="11" t="n"/>
      <c r="T45" s="7" t="n"/>
      <c r="U45" s="7" t="n"/>
    </row>
    <row r="46">
      <c r="A46" s="2" t="n">
        <v>45</v>
      </c>
      <c r="B46" s="3" t="inlineStr">
        <is>
          <t>Dlira Burger - Hamburgueria Gourmet</t>
        </is>
      </c>
      <c r="C46" s="3" t="inlineStr">
        <is>
          <t>Aparecida de Goiânia</t>
        </is>
      </c>
      <c r="D46" s="2" t="inlineStr">
        <is>
          <t>GO</t>
        </is>
      </c>
      <c r="E46" s="3" t="inlineStr">
        <is>
          <t>Vila Brasília</t>
        </is>
      </c>
      <c r="F46" s="4" t="inlineStr">
        <is>
          <t>abrir</t>
        </is>
      </c>
      <c r="G46" s="2" t="inlineStr"/>
      <c r="H46" s="5" t="n"/>
      <c r="I46" s="6" t="n"/>
      <c r="J46" s="2">
        <f>IF(I46="","",IF(I46&gt;=300,"Alta",IF(I46&gt;=100,"Média","Baixa")))</f>
        <v/>
      </c>
      <c r="K46" s="7" t="n"/>
      <c r="L46" s="7" t="n"/>
      <c r="M46" s="7" t="n"/>
      <c r="N46" s="8" t="n"/>
      <c r="O46" s="9">
        <f>IF(N46="","",N46*'Como usar'!$C$6)</f>
        <v/>
      </c>
      <c r="P46" s="10" t="n"/>
      <c r="Q46" s="11" t="n"/>
      <c r="R46" s="11" t="n"/>
      <c r="S46" s="11" t="n"/>
      <c r="T46" s="7" t="n"/>
      <c r="U46" s="7" t="n"/>
    </row>
    <row r="47">
      <c r="A47" s="2" t="n">
        <v>46</v>
      </c>
      <c r="B47" s="3" t="inlineStr">
        <is>
          <t>Best Burgers Artesanal</t>
        </is>
      </c>
      <c r="C47" s="3" t="inlineStr">
        <is>
          <t>Goiânia</t>
        </is>
      </c>
      <c r="D47" s="2" t="inlineStr">
        <is>
          <t>GO</t>
        </is>
      </c>
      <c r="E47" s="3" t="inlineStr">
        <is>
          <t>Setor Bueno</t>
        </is>
      </c>
      <c r="F47" s="4" t="inlineStr">
        <is>
          <t>abrir</t>
        </is>
      </c>
      <c r="G47" s="2" t="inlineStr"/>
      <c r="H47" s="5" t="n"/>
      <c r="I47" s="6" t="n"/>
      <c r="J47" s="2">
        <f>IF(I47="","",IF(I47&gt;=300,"Alta",IF(I47&gt;=100,"Média","Baixa")))</f>
        <v/>
      </c>
      <c r="K47" s="7" t="n"/>
      <c r="L47" s="7" t="n"/>
      <c r="M47" s="7" t="n"/>
      <c r="N47" s="8" t="n"/>
      <c r="O47" s="9">
        <f>IF(N47="","",N47*'Como usar'!$C$6)</f>
        <v/>
      </c>
      <c r="P47" s="10" t="n"/>
      <c r="Q47" s="11" t="n"/>
      <c r="R47" s="11" t="n"/>
      <c r="S47" s="11" t="n"/>
      <c r="T47" s="7" t="n"/>
      <c r="U47" s="7" t="n"/>
    </row>
    <row r="48">
      <c r="A48" s="2" t="n">
        <v>47</v>
      </c>
      <c r="B48" s="3" t="inlineStr">
        <is>
          <t>Me Gusta Burger - Hamburgueria Artesanal</t>
        </is>
      </c>
      <c r="C48" s="3" t="inlineStr">
        <is>
          <t>Goiânia</t>
        </is>
      </c>
      <c r="D48" s="2" t="inlineStr">
        <is>
          <t>GO</t>
        </is>
      </c>
      <c r="E48" s="3" t="inlineStr">
        <is>
          <t>Jardim América</t>
        </is>
      </c>
      <c r="F48" s="4" t="inlineStr">
        <is>
          <t>abrir</t>
        </is>
      </c>
      <c r="G48" s="2" t="inlineStr"/>
      <c r="H48" s="5" t="n"/>
      <c r="I48" s="6" t="n"/>
      <c r="J48" s="2">
        <f>IF(I48="","",IF(I48&gt;=300,"Alta",IF(I48&gt;=100,"Média","Baixa")))</f>
        <v/>
      </c>
      <c r="K48" s="7" t="n"/>
      <c r="L48" s="7" t="n"/>
      <c r="M48" s="7" t="n"/>
      <c r="N48" s="8" t="n"/>
      <c r="O48" s="9">
        <f>IF(N48="","",N48*'Como usar'!$C$6)</f>
        <v/>
      </c>
      <c r="P48" s="10" t="n"/>
      <c r="Q48" s="11" t="n"/>
      <c r="R48" s="11" t="n"/>
      <c r="S48" s="11" t="n"/>
      <c r="T48" s="7" t="n"/>
      <c r="U48" s="7" t="n"/>
    </row>
    <row r="49">
      <c r="A49" s="2" t="n">
        <v>48</v>
      </c>
      <c r="B49" s="3" t="inlineStr">
        <is>
          <t>Mr Smash Burger Hamburgueria e Lanches</t>
        </is>
      </c>
      <c r="C49" s="3" t="inlineStr">
        <is>
          <t>Goiânia</t>
        </is>
      </c>
      <c r="D49" s="2" t="inlineStr">
        <is>
          <t>GO</t>
        </is>
      </c>
      <c r="E49" s="3" t="inlineStr">
        <is>
          <t>Jardim América</t>
        </is>
      </c>
      <c r="F49" s="4" t="inlineStr">
        <is>
          <t>abrir</t>
        </is>
      </c>
      <c r="G49" s="2" t="inlineStr"/>
      <c r="H49" s="5" t="n"/>
      <c r="I49" s="6" t="n"/>
      <c r="J49" s="2">
        <f>IF(I49="","",IF(I49&gt;=300,"Alta",IF(I49&gt;=100,"Média","Baixa")))</f>
        <v/>
      </c>
      <c r="K49" s="7" t="n"/>
      <c r="L49" s="7" t="n"/>
      <c r="M49" s="7" t="n"/>
      <c r="N49" s="8" t="n"/>
      <c r="O49" s="9">
        <f>IF(N49="","",N49*'Como usar'!$C$6)</f>
        <v/>
      </c>
      <c r="P49" s="10" t="n"/>
      <c r="Q49" s="11" t="n"/>
      <c r="R49" s="11" t="n"/>
      <c r="S49" s="11" t="n"/>
      <c r="T49" s="7" t="n"/>
      <c r="U49" s="7" t="n"/>
    </row>
    <row r="50">
      <c r="A50" s="2" t="n">
        <v>49</v>
      </c>
      <c r="B50" s="3" t="inlineStr">
        <is>
          <t>Rafas Burgers</t>
        </is>
      </c>
      <c r="C50" s="3" t="inlineStr">
        <is>
          <t>Goiânia</t>
        </is>
      </c>
      <c r="D50" s="2" t="inlineStr">
        <is>
          <t>GO</t>
        </is>
      </c>
      <c r="E50" s="3" t="inlineStr">
        <is>
          <t>Setor Pedro Ludovico</t>
        </is>
      </c>
      <c r="F50" s="4" t="inlineStr">
        <is>
          <t>abrir</t>
        </is>
      </c>
      <c r="G50" s="2" t="inlineStr"/>
      <c r="H50" s="5" t="n"/>
      <c r="I50" s="6" t="n"/>
      <c r="J50" s="2">
        <f>IF(I50="","",IF(I50&gt;=300,"Alta",IF(I50&gt;=100,"Média","Baixa")))</f>
        <v/>
      </c>
      <c r="K50" s="7" t="n"/>
      <c r="L50" s="7" t="n"/>
      <c r="M50" s="7" t="n"/>
      <c r="N50" s="8" t="n"/>
      <c r="O50" s="9">
        <f>IF(N50="","",N50*'Como usar'!$C$6)</f>
        <v/>
      </c>
      <c r="P50" s="10" t="n"/>
      <c r="Q50" s="11" t="n"/>
      <c r="R50" s="11" t="n"/>
      <c r="S50" s="11" t="n"/>
      <c r="T50" s="7" t="n"/>
      <c r="U50" s="7" t="n"/>
    </row>
    <row r="51">
      <c r="A51" s="2" t="n">
        <v>50</v>
      </c>
      <c r="B51" s="3" t="inlineStr">
        <is>
          <t>Simple Burger - Hamburgueria</t>
        </is>
      </c>
      <c r="C51" s="3" t="inlineStr">
        <is>
          <t>Goiânia</t>
        </is>
      </c>
      <c r="D51" s="2" t="inlineStr">
        <is>
          <t>GO</t>
        </is>
      </c>
      <c r="E51" s="3" t="inlineStr">
        <is>
          <t>Jardim Goiás</t>
        </is>
      </c>
      <c r="F51" s="4" t="inlineStr">
        <is>
          <t>abrir</t>
        </is>
      </c>
      <c r="G51" s="2" t="inlineStr"/>
      <c r="H51" s="5" t="n"/>
      <c r="I51" s="6" t="n"/>
      <c r="J51" s="2">
        <f>IF(I51="","",IF(I51&gt;=300,"Alta",IF(I51&gt;=100,"Média","Baixa")))</f>
        <v/>
      </c>
      <c r="K51" s="7" t="n"/>
      <c r="L51" s="7" t="n"/>
      <c r="M51" s="7" t="n"/>
      <c r="N51" s="8" t="n"/>
      <c r="O51" s="9">
        <f>IF(N51="","",N51*'Como usar'!$C$6)</f>
        <v/>
      </c>
      <c r="P51" s="10" t="n"/>
      <c r="Q51" s="11" t="n"/>
      <c r="R51" s="11" t="n"/>
      <c r="S51" s="11" t="n"/>
      <c r="T51" s="7" t="n"/>
      <c r="U51" s="7" t="n"/>
    </row>
    <row r="52">
      <c r="A52" s="2" t="n">
        <v>51</v>
      </c>
      <c r="B52" s="3" t="inlineStr">
        <is>
          <t>Tt Burger - Goiânia</t>
        </is>
      </c>
      <c r="C52" s="3" t="inlineStr">
        <is>
          <t>Goiânia</t>
        </is>
      </c>
      <c r="D52" s="2" t="inlineStr">
        <is>
          <t>GO</t>
        </is>
      </c>
      <c r="E52" s="3" t="inlineStr">
        <is>
          <t>Setor Marista</t>
        </is>
      </c>
      <c r="F52" s="4" t="inlineStr">
        <is>
          <t>abrir</t>
        </is>
      </c>
      <c r="G52" s="2" t="inlineStr">
        <is>
          <t>Sim</t>
        </is>
      </c>
      <c r="H52" s="5" t="n"/>
      <c r="I52" s="6" t="n"/>
      <c r="J52" s="2">
        <f>IF(I52="","",IF(I52&gt;=300,"Alta",IF(I52&gt;=100,"Média","Baixa")))</f>
        <v/>
      </c>
      <c r="K52" s="7" t="n"/>
      <c r="L52" s="7" t="n"/>
      <c r="M52" s="7" t="n"/>
      <c r="N52" s="8" t="n"/>
      <c r="O52" s="9">
        <f>IF(N52="","",N52*'Como usar'!$C$6)</f>
        <v/>
      </c>
      <c r="P52" s="10" t="n"/>
      <c r="Q52" s="11" t="n"/>
      <c r="R52" s="11" t="n"/>
      <c r="S52" s="11" t="n"/>
      <c r="T52" s="7" t="n"/>
      <c r="U52" s="7" t="n"/>
    </row>
    <row r="53">
      <c r="A53" s="2" t="n">
        <v>52</v>
      </c>
      <c r="B53" s="3" t="inlineStr">
        <is>
          <t>Smash! Burger Artesanal</t>
        </is>
      </c>
      <c r="C53" s="3" t="inlineStr">
        <is>
          <t>Águas Lindas de Goiás</t>
        </is>
      </c>
      <c r="D53" s="2" t="inlineStr">
        <is>
          <t>GO</t>
        </is>
      </c>
      <c r="E53" s="3" t="inlineStr">
        <is>
          <t>Mansões Olinda</t>
        </is>
      </c>
      <c r="F53" s="4" t="inlineStr">
        <is>
          <t>abrir</t>
        </is>
      </c>
      <c r="G53" s="2" t="inlineStr"/>
      <c r="H53" s="5" t="n"/>
      <c r="I53" s="6" t="n"/>
      <c r="J53" s="2">
        <f>IF(I53="","",IF(I53&gt;=300,"Alta",IF(I53&gt;=100,"Média","Baixa")))</f>
        <v/>
      </c>
      <c r="K53" s="7" t="n"/>
      <c r="L53" s="7" t="n"/>
      <c r="M53" s="7" t="n"/>
      <c r="N53" s="8" t="n"/>
      <c r="O53" s="9">
        <f>IF(N53="","",N53*'Como usar'!$C$6)</f>
        <v/>
      </c>
      <c r="P53" s="10" t="n"/>
      <c r="Q53" s="11" t="n"/>
      <c r="R53" s="11" t="n"/>
      <c r="S53" s="11" t="n"/>
      <c r="T53" s="7" t="n"/>
      <c r="U53" s="7" t="n"/>
    </row>
    <row r="54">
      <c r="A54" s="2" t="n">
        <v>53</v>
      </c>
      <c r="B54" s="3" t="inlineStr">
        <is>
          <t>American Smash Burger</t>
        </is>
      </c>
      <c r="C54" s="3" t="inlineStr">
        <is>
          <t>São Luís</t>
        </is>
      </c>
      <c r="D54" s="2" t="inlineStr">
        <is>
          <t>MA</t>
        </is>
      </c>
      <c r="E54" s="3" t="inlineStr">
        <is>
          <t>Turu</t>
        </is>
      </c>
      <c r="F54" s="4" t="inlineStr">
        <is>
          <t>abrir</t>
        </is>
      </c>
      <c r="G54" s="2" t="inlineStr"/>
      <c r="H54" s="5" t="n"/>
      <c r="I54" s="6" t="n"/>
      <c r="J54" s="2">
        <f>IF(I54="","",IF(I54&gt;=300,"Alta",IF(I54&gt;=100,"Média","Baixa")))</f>
        <v/>
      </c>
      <c r="K54" s="7" t="n"/>
      <c r="L54" s="7" t="n"/>
      <c r="M54" s="7" t="n"/>
      <c r="N54" s="8" t="n"/>
      <c r="O54" s="9">
        <f>IF(N54="","",N54*'Como usar'!$C$6)</f>
        <v/>
      </c>
      <c r="P54" s="10" t="n"/>
      <c r="Q54" s="11" t="n"/>
      <c r="R54" s="11" t="n"/>
      <c r="S54" s="11" t="n"/>
      <c r="T54" s="7" t="n"/>
      <c r="U54" s="7" t="n"/>
    </row>
    <row r="55">
      <c r="A55" s="2" t="n">
        <v>54</v>
      </c>
      <c r="B55" s="3" t="inlineStr">
        <is>
          <t>Hamburgueria Blacks Burguer e Churrasco</t>
        </is>
      </c>
      <c r="C55" s="3" t="inlineStr">
        <is>
          <t>São Luís</t>
        </is>
      </c>
      <c r="D55" s="2" t="inlineStr">
        <is>
          <t>MA</t>
        </is>
      </c>
      <c r="E55" s="3" t="inlineStr">
        <is>
          <t>Cidade Operária</t>
        </is>
      </c>
      <c r="F55" s="4" t="inlineStr">
        <is>
          <t>abrir</t>
        </is>
      </c>
      <c r="G55" s="2" t="inlineStr"/>
      <c r="H55" s="5" t="n"/>
      <c r="I55" s="6" t="n"/>
      <c r="J55" s="2">
        <f>IF(I55="","",IF(I55&gt;=300,"Alta",IF(I55&gt;=100,"Média","Baixa")))</f>
        <v/>
      </c>
      <c r="K55" s="7" t="n"/>
      <c r="L55" s="7" t="n"/>
      <c r="M55" s="7" t="n"/>
      <c r="N55" s="8" t="n"/>
      <c r="O55" s="9">
        <f>IF(N55="","",N55*'Como usar'!$C$6)</f>
        <v/>
      </c>
      <c r="P55" s="10" t="n"/>
      <c r="Q55" s="11" t="n"/>
      <c r="R55" s="11" t="n"/>
      <c r="S55" s="11" t="n"/>
      <c r="T55" s="7" t="n"/>
      <c r="U55" s="7" t="n"/>
    </row>
    <row r="56">
      <c r="A56" s="2" t="n">
        <v>55</v>
      </c>
      <c r="B56" s="3" t="inlineStr">
        <is>
          <t>Hamburgueria Rocks Burguer</t>
        </is>
      </c>
      <c r="C56" s="3" t="inlineStr">
        <is>
          <t>São Luís</t>
        </is>
      </c>
      <c r="D56" s="2" t="inlineStr">
        <is>
          <t>MA</t>
        </is>
      </c>
      <c r="E56" s="3" t="inlineStr">
        <is>
          <t>Vila Vicente Fialho</t>
        </is>
      </c>
      <c r="F56" s="4" t="inlineStr">
        <is>
          <t>abrir</t>
        </is>
      </c>
      <c r="G56" s="2" t="inlineStr"/>
      <c r="H56" s="5" t="n"/>
      <c r="I56" s="6" t="n"/>
      <c r="J56" s="2">
        <f>IF(I56="","",IF(I56&gt;=300,"Alta",IF(I56&gt;=100,"Média","Baixa")))</f>
        <v/>
      </c>
      <c r="K56" s="7" t="n"/>
      <c r="L56" s="7" t="n"/>
      <c r="M56" s="7" t="n"/>
      <c r="N56" s="8" t="n"/>
      <c r="O56" s="9">
        <f>IF(N56="","",N56*'Como usar'!$C$6)</f>
        <v/>
      </c>
      <c r="P56" s="10" t="n"/>
      <c r="Q56" s="11" t="n"/>
      <c r="R56" s="11" t="n"/>
      <c r="S56" s="11" t="n"/>
      <c r="T56" s="7" t="n"/>
      <c r="U56" s="7" t="n"/>
    </row>
    <row r="57">
      <c r="A57" s="2" t="n">
        <v>56</v>
      </c>
      <c r="B57" s="3" t="inlineStr">
        <is>
          <t>Hamburgueria Vigore Burger</t>
        </is>
      </c>
      <c r="C57" s="3" t="inlineStr">
        <is>
          <t>São Luís</t>
        </is>
      </c>
      <c r="D57" s="2" t="inlineStr">
        <is>
          <t>MA</t>
        </is>
      </c>
      <c r="E57" s="3" t="inlineStr">
        <is>
          <t>Residencial Vinhais II</t>
        </is>
      </c>
      <c r="F57" s="4" t="inlineStr">
        <is>
          <t>abrir</t>
        </is>
      </c>
      <c r="G57" s="2" t="inlineStr"/>
      <c r="H57" s="5" t="n"/>
      <c r="I57" s="6" t="n"/>
      <c r="J57" s="2">
        <f>IF(I57="","",IF(I57&gt;=300,"Alta",IF(I57&gt;=100,"Média","Baixa")))</f>
        <v/>
      </c>
      <c r="K57" s="7" t="n"/>
      <c r="L57" s="7" t="n"/>
      <c r="M57" s="7" t="n"/>
      <c r="N57" s="8" t="n"/>
      <c r="O57" s="9">
        <f>IF(N57="","",N57*'Como usar'!$C$6)</f>
        <v/>
      </c>
      <c r="P57" s="10" t="n"/>
      <c r="Q57" s="11" t="n"/>
      <c r="R57" s="11" t="n"/>
      <c r="S57" s="11" t="n"/>
      <c r="T57" s="7" t="n"/>
      <c r="U57" s="7" t="n"/>
    </row>
    <row r="58">
      <c r="A58" s="2" t="n">
        <v>57</v>
      </c>
      <c r="B58" s="3" t="inlineStr">
        <is>
          <t>Hamburgueria Bê de Burguer Artesanal</t>
        </is>
      </c>
      <c r="C58" s="3" t="inlineStr">
        <is>
          <t>Belo Horizonte</t>
        </is>
      </c>
      <c r="D58" s="2" t="inlineStr">
        <is>
          <t>MG</t>
        </is>
      </c>
      <c r="E58" s="3" t="inlineStr">
        <is>
          <t>Colegio Batista</t>
        </is>
      </c>
      <c r="F58" s="4" t="inlineStr">
        <is>
          <t>abrir</t>
        </is>
      </c>
      <c r="G58" s="2" t="inlineStr"/>
      <c r="H58" s="5" t="n"/>
      <c r="I58" s="6" t="n"/>
      <c r="J58" s="2">
        <f>IF(I58="","",IF(I58&gt;=300,"Alta",IF(I58&gt;=100,"Média","Baixa")))</f>
        <v/>
      </c>
      <c r="K58" s="7" t="n"/>
      <c r="L58" s="7" t="n"/>
      <c r="M58" s="7" t="n"/>
      <c r="N58" s="8" t="n"/>
      <c r="O58" s="9">
        <f>IF(N58="","",N58*'Como usar'!$C$6)</f>
        <v/>
      </c>
      <c r="P58" s="10" t="n"/>
      <c r="Q58" s="11" t="n"/>
      <c r="R58" s="11" t="n"/>
      <c r="S58" s="11" t="n"/>
      <c r="T58" s="7" t="n"/>
      <c r="U58" s="7" t="n"/>
    </row>
    <row r="59">
      <c r="A59" s="2" t="n">
        <v>58</v>
      </c>
      <c r="B59" s="3" t="inlineStr">
        <is>
          <t>Killer Fast Hamburgueria</t>
        </is>
      </c>
      <c r="C59" s="3" t="inlineStr">
        <is>
          <t>Belo Horizonte</t>
        </is>
      </c>
      <c r="D59" s="2" t="inlineStr">
        <is>
          <t>MG</t>
        </is>
      </c>
      <c r="E59" s="3" t="inlineStr">
        <is>
          <t>Cidade Nova</t>
        </is>
      </c>
      <c r="F59" s="4" t="inlineStr">
        <is>
          <t>abrir</t>
        </is>
      </c>
      <c r="G59" s="2" t="inlineStr"/>
      <c r="H59" s="5" t="n"/>
      <c r="I59" s="6" t="n"/>
      <c r="J59" s="2">
        <f>IF(I59="","",IF(I59&gt;=300,"Alta",IF(I59&gt;=100,"Média","Baixa")))</f>
        <v/>
      </c>
      <c r="K59" s="7" t="n"/>
      <c r="L59" s="7" t="n"/>
      <c r="M59" s="7" t="n"/>
      <c r="N59" s="8" t="n"/>
      <c r="O59" s="9">
        <f>IF(N59="","",N59*'Como usar'!$C$6)</f>
        <v/>
      </c>
      <c r="P59" s="10" t="n"/>
      <c r="Q59" s="11" t="n"/>
      <c r="R59" s="11" t="n"/>
      <c r="S59" s="11" t="n"/>
      <c r="T59" s="7" t="n"/>
      <c r="U59" s="7" t="n"/>
    </row>
    <row r="60">
      <c r="A60" s="2" t="n">
        <v>59</v>
      </c>
      <c r="B60" s="3" t="inlineStr">
        <is>
          <t>Seleto Hamburgueria Artesanal</t>
        </is>
      </c>
      <c r="C60" s="3" t="inlineStr">
        <is>
          <t>Belo Horizonte</t>
        </is>
      </c>
      <c r="D60" s="2" t="inlineStr">
        <is>
          <t>MG</t>
        </is>
      </c>
      <c r="E60" s="3" t="inlineStr">
        <is>
          <t>Guarani</t>
        </is>
      </c>
      <c r="F60" s="4" t="inlineStr">
        <is>
          <t>abrir</t>
        </is>
      </c>
      <c r="G60" s="2" t="inlineStr"/>
      <c r="H60" s="5" t="n"/>
      <c r="I60" s="6" t="n"/>
      <c r="J60" s="2">
        <f>IF(I60="","",IF(I60&gt;=300,"Alta",IF(I60&gt;=100,"Média","Baixa")))</f>
        <v/>
      </c>
      <c r="K60" s="7" t="n"/>
      <c r="L60" s="7" t="n"/>
      <c r="M60" s="7" t="n"/>
      <c r="N60" s="8" t="n"/>
      <c r="O60" s="9">
        <f>IF(N60="","",N60*'Como usar'!$C$6)</f>
        <v/>
      </c>
      <c r="P60" s="10" t="n"/>
      <c r="Q60" s="11" t="n"/>
      <c r="R60" s="11" t="n"/>
      <c r="S60" s="11" t="n"/>
      <c r="T60" s="7" t="n"/>
      <c r="U60" s="7" t="n"/>
    </row>
    <row r="61">
      <c r="A61" s="2" t="n">
        <v>60</v>
      </c>
      <c r="B61" s="3" t="inlineStr">
        <is>
          <t>Seuburger Smash</t>
        </is>
      </c>
      <c r="C61" s="3" t="inlineStr">
        <is>
          <t>Belo Horizonte</t>
        </is>
      </c>
      <c r="D61" s="2" t="inlineStr">
        <is>
          <t>MG</t>
        </is>
      </c>
      <c r="E61" s="3" t="inlineStr">
        <is>
          <t>São Pedro</t>
        </is>
      </c>
      <c r="F61" s="4" t="inlineStr">
        <is>
          <t>abrir</t>
        </is>
      </c>
      <c r="G61" s="2" t="inlineStr"/>
      <c r="H61" s="5" t="n"/>
      <c r="I61" s="6" t="n"/>
      <c r="J61" s="2">
        <f>IF(I61="","",IF(I61&gt;=300,"Alta",IF(I61&gt;=100,"Média","Baixa")))</f>
        <v/>
      </c>
      <c r="K61" s="7" t="n"/>
      <c r="L61" s="7" t="n"/>
      <c r="M61" s="7" t="n"/>
      <c r="N61" s="8" t="n"/>
      <c r="O61" s="9">
        <f>IF(N61="","",N61*'Como usar'!$C$6)</f>
        <v/>
      </c>
      <c r="P61" s="10" t="n"/>
      <c r="Q61" s="11" t="n"/>
      <c r="R61" s="11" t="n"/>
      <c r="S61" s="11" t="n"/>
      <c r="T61" s="7" t="n"/>
      <c r="U61" s="7" t="n"/>
    </row>
    <row r="62">
      <c r="A62" s="2" t="n">
        <v>61</v>
      </c>
      <c r="B62" s="3" t="inlineStr">
        <is>
          <t>Smash Lovers Hamburgueria</t>
        </is>
      </c>
      <c r="C62" s="3" t="inlineStr">
        <is>
          <t>Belo Horizonte</t>
        </is>
      </c>
      <c r="D62" s="2" t="inlineStr">
        <is>
          <t>MG</t>
        </is>
      </c>
      <c r="E62" s="3" t="inlineStr">
        <is>
          <t>Serra</t>
        </is>
      </c>
      <c r="F62" s="4" t="inlineStr">
        <is>
          <t>abrir</t>
        </is>
      </c>
      <c r="G62" s="2" t="inlineStr"/>
      <c r="H62" s="5" t="n"/>
      <c r="I62" s="6" t="n"/>
      <c r="J62" s="2">
        <f>IF(I62="","",IF(I62&gt;=300,"Alta",IF(I62&gt;=100,"Média","Baixa")))</f>
        <v/>
      </c>
      <c r="K62" s="7" t="n"/>
      <c r="L62" s="7" t="n"/>
      <c r="M62" s="7" t="n"/>
      <c r="N62" s="8" t="n"/>
      <c r="O62" s="9">
        <f>IF(N62="","",N62*'Como usar'!$C$6)</f>
        <v/>
      </c>
      <c r="P62" s="10" t="n"/>
      <c r="Q62" s="11" t="n"/>
      <c r="R62" s="11" t="n"/>
      <c r="S62" s="11" t="n"/>
      <c r="T62" s="7" t="n"/>
      <c r="U62" s="7" t="n"/>
    </row>
    <row r="63">
      <c r="A63" s="2" t="n">
        <v>62</v>
      </c>
      <c r="B63" s="3" t="inlineStr">
        <is>
          <t>Universo Food Bh</t>
        </is>
      </c>
      <c r="C63" s="3" t="inlineStr">
        <is>
          <t>Belo Horizonte</t>
        </is>
      </c>
      <c r="D63" s="2" t="inlineStr">
        <is>
          <t>MG</t>
        </is>
      </c>
      <c r="E63" s="3" t="inlineStr">
        <is>
          <t>Santa Amélia</t>
        </is>
      </c>
      <c r="F63" s="4" t="inlineStr">
        <is>
          <t>abrir</t>
        </is>
      </c>
      <c r="G63" s="2" t="inlineStr"/>
      <c r="H63" s="5" t="n"/>
      <c r="I63" s="6" t="n"/>
      <c r="J63" s="2">
        <f>IF(I63="","",IF(I63&gt;=300,"Alta",IF(I63&gt;=100,"Média","Baixa")))</f>
        <v/>
      </c>
      <c r="K63" s="7" t="n"/>
      <c r="L63" s="7" t="n"/>
      <c r="M63" s="7" t="n"/>
      <c r="N63" s="8" t="n"/>
      <c r="O63" s="9">
        <f>IF(N63="","",N63*'Como usar'!$C$6)</f>
        <v/>
      </c>
      <c r="P63" s="10" t="n"/>
      <c r="Q63" s="11" t="n"/>
      <c r="R63" s="11" t="n"/>
      <c r="S63" s="11" t="n"/>
      <c r="T63" s="7" t="n"/>
      <c r="U63" s="7" t="n"/>
    </row>
    <row r="64">
      <c r="A64" s="2" t="n">
        <v>63</v>
      </c>
      <c r="B64" s="3" t="inlineStr">
        <is>
          <t>Mr. Smash Burguer</t>
        </is>
      </c>
      <c r="C64" s="3" t="inlineStr">
        <is>
          <t>Uberaba</t>
        </is>
      </c>
      <c r="D64" s="2" t="inlineStr">
        <is>
          <t>MG</t>
        </is>
      </c>
      <c r="E64" s="3" t="inlineStr">
        <is>
          <t>Lourdes</t>
        </is>
      </c>
      <c r="F64" s="4" t="inlineStr">
        <is>
          <t>abrir</t>
        </is>
      </c>
      <c r="G64" s="2" t="inlineStr"/>
      <c r="H64" s="5" t="n"/>
      <c r="I64" s="6" t="n"/>
      <c r="J64" s="2">
        <f>IF(I64="","",IF(I64&gt;=300,"Alta",IF(I64&gt;=100,"Média","Baixa")))</f>
        <v/>
      </c>
      <c r="K64" s="7" t="n"/>
      <c r="L64" s="7" t="n"/>
      <c r="M64" s="7" t="n"/>
      <c r="N64" s="8" t="n"/>
      <c r="O64" s="9">
        <f>IF(N64="","",N64*'Como usar'!$C$6)</f>
        <v/>
      </c>
      <c r="P64" s="10" t="n"/>
      <c r="Q64" s="11" t="n"/>
      <c r="R64" s="11" t="n"/>
      <c r="S64" s="11" t="n"/>
      <c r="T64" s="7" t="n"/>
      <c r="U64" s="7" t="n"/>
    </row>
    <row r="65">
      <c r="A65" s="2" t="n">
        <v>64</v>
      </c>
      <c r="B65" s="3" t="inlineStr">
        <is>
          <t>Alemanha Burger's - Hamburgueria Artesanal - Saraiva</t>
        </is>
      </c>
      <c r="C65" s="3" t="inlineStr">
        <is>
          <t>Uberlândia</t>
        </is>
      </c>
      <c r="D65" s="2" t="inlineStr">
        <is>
          <t>MG</t>
        </is>
      </c>
      <c r="E65" s="3" t="inlineStr">
        <is>
          <t>Saraiva</t>
        </is>
      </c>
      <c r="F65" s="4" t="inlineStr">
        <is>
          <t>abrir</t>
        </is>
      </c>
      <c r="G65" s="2" t="inlineStr"/>
      <c r="H65" s="5" t="n"/>
      <c r="I65" s="6" t="n"/>
      <c r="J65" s="2">
        <f>IF(I65="","",IF(I65&gt;=300,"Alta",IF(I65&gt;=100,"Média","Baixa")))</f>
        <v/>
      </c>
      <c r="K65" s="7" t="n"/>
      <c r="L65" s="7" t="n"/>
      <c r="M65" s="7" t="n"/>
      <c r="N65" s="8" t="n"/>
      <c r="O65" s="9">
        <f>IF(N65="","",N65*'Como usar'!$C$6)</f>
        <v/>
      </c>
      <c r="P65" s="10" t="n"/>
      <c r="Q65" s="11" t="n"/>
      <c r="R65" s="11" t="n"/>
      <c r="S65" s="11" t="n"/>
      <c r="T65" s="7" t="n"/>
      <c r="U65" s="7" t="n"/>
    </row>
    <row r="66">
      <c r="A66" s="2" t="n">
        <v>65</v>
      </c>
      <c r="B66" s="3" t="inlineStr">
        <is>
          <t>Punch Smash Burgers Patio Sabia</t>
        </is>
      </c>
      <c r="C66" s="3" t="inlineStr">
        <is>
          <t>Uberlândia</t>
        </is>
      </c>
      <c r="D66" s="2" t="inlineStr">
        <is>
          <t>MG</t>
        </is>
      </c>
      <c r="E66" s="3" t="inlineStr">
        <is>
          <t>Tibery</t>
        </is>
      </c>
      <c r="F66" s="4" t="inlineStr">
        <is>
          <t>abrir</t>
        </is>
      </c>
      <c r="G66" s="2" t="inlineStr">
        <is>
          <t>Sim</t>
        </is>
      </c>
      <c r="H66" s="5" t="n"/>
      <c r="I66" s="6" t="n"/>
      <c r="J66" s="2">
        <f>IF(I66="","",IF(I66&gt;=300,"Alta",IF(I66&gt;=100,"Média","Baixa")))</f>
        <v/>
      </c>
      <c r="K66" s="7" t="n"/>
      <c r="L66" s="7" t="n"/>
      <c r="M66" s="7" t="n"/>
      <c r="N66" s="8" t="n"/>
      <c r="O66" s="9">
        <f>IF(N66="","",N66*'Como usar'!$C$6)</f>
        <v/>
      </c>
      <c r="P66" s="10" t="n"/>
      <c r="Q66" s="11" t="n"/>
      <c r="R66" s="11" t="n"/>
      <c r="S66" s="11" t="n"/>
      <c r="T66" s="7" t="n"/>
      <c r="U66" s="7" t="n"/>
    </row>
    <row r="67">
      <c r="A67" s="2" t="n">
        <v>66</v>
      </c>
      <c r="B67" s="3" t="inlineStr">
        <is>
          <t>The Burger Town - Hamburgueria Artesanal</t>
        </is>
      </c>
      <c r="C67" s="3" t="inlineStr">
        <is>
          <t>Uberlândia</t>
        </is>
      </c>
      <c r="D67" s="2" t="inlineStr">
        <is>
          <t>MG</t>
        </is>
      </c>
      <c r="E67" s="3" t="inlineStr">
        <is>
          <t>Cazeca</t>
        </is>
      </c>
      <c r="F67" s="4" t="inlineStr">
        <is>
          <t>abrir</t>
        </is>
      </c>
      <c r="G67" s="2" t="inlineStr"/>
      <c r="H67" s="5" t="n"/>
      <c r="I67" s="6" t="n"/>
      <c r="J67" s="2">
        <f>IF(I67="","",IF(I67&gt;=300,"Alta",IF(I67&gt;=100,"Média","Baixa")))</f>
        <v/>
      </c>
      <c r="K67" s="7" t="n"/>
      <c r="L67" s="7" t="n"/>
      <c r="M67" s="7" t="n"/>
      <c r="N67" s="8" t="n"/>
      <c r="O67" s="9">
        <f>IF(N67="","",N67*'Como usar'!$C$6)</f>
        <v/>
      </c>
      <c r="P67" s="10" t="n"/>
      <c r="Q67" s="11" t="n"/>
      <c r="R67" s="11" t="n"/>
      <c r="S67" s="11" t="n"/>
      <c r="T67" s="7" t="n"/>
      <c r="U67" s="7" t="n"/>
    </row>
    <row r="68">
      <c r="A68" s="2" t="n">
        <v>67</v>
      </c>
      <c r="B68" s="3" t="inlineStr">
        <is>
          <t>Tomahawk Burguer</t>
        </is>
      </c>
      <c r="C68" s="3" t="inlineStr">
        <is>
          <t>Uberlândia</t>
        </is>
      </c>
      <c r="D68" s="2" t="inlineStr">
        <is>
          <t>MG</t>
        </is>
      </c>
      <c r="E68" s="3" t="inlineStr">
        <is>
          <t>Granada</t>
        </is>
      </c>
      <c r="F68" s="4" t="inlineStr">
        <is>
          <t>abrir</t>
        </is>
      </c>
      <c r="G68" s="2" t="inlineStr"/>
      <c r="H68" s="5" t="n"/>
      <c r="I68" s="6" t="n"/>
      <c r="J68" s="2">
        <f>IF(I68="","",IF(I68&gt;=300,"Alta",IF(I68&gt;=100,"Média","Baixa")))</f>
        <v/>
      </c>
      <c r="K68" s="7" t="n"/>
      <c r="L68" s="7" t="n"/>
      <c r="M68" s="7" t="n"/>
      <c r="N68" s="8" t="n"/>
      <c r="O68" s="9">
        <f>IF(N68="","",N68*'Como usar'!$C$6)</f>
        <v/>
      </c>
      <c r="P68" s="10" t="n"/>
      <c r="Q68" s="11" t="n"/>
      <c r="R68" s="11" t="n"/>
      <c r="S68" s="11" t="n"/>
      <c r="T68" s="7" t="n"/>
      <c r="U68" s="7" t="n"/>
    </row>
    <row r="69">
      <c r="A69" s="2" t="n">
        <v>68</v>
      </c>
      <c r="B69" s="3" t="inlineStr">
        <is>
          <t>Vintage Burguer - Lanches</t>
        </is>
      </c>
      <c r="C69" s="3" t="inlineStr">
        <is>
          <t>Uberlândia</t>
        </is>
      </c>
      <c r="D69" s="2" t="inlineStr">
        <is>
          <t>MG</t>
        </is>
      </c>
      <c r="E69" s="3" t="inlineStr">
        <is>
          <t>Centro</t>
        </is>
      </c>
      <c r="F69" s="4" t="inlineStr">
        <is>
          <t>abrir</t>
        </is>
      </c>
      <c r="G69" s="2" t="inlineStr"/>
      <c r="H69" s="5" t="n"/>
      <c r="I69" s="6" t="n"/>
      <c r="J69" s="2">
        <f>IF(I69="","",IF(I69&gt;=300,"Alta",IF(I69&gt;=100,"Média","Baixa")))</f>
        <v/>
      </c>
      <c r="K69" s="7" t="n"/>
      <c r="L69" s="7" t="n"/>
      <c r="M69" s="7" t="n"/>
      <c r="N69" s="8" t="n"/>
      <c r="O69" s="9">
        <f>IF(N69="","",N69*'Como usar'!$C$6)</f>
        <v/>
      </c>
      <c r="P69" s="10" t="n"/>
      <c r="Q69" s="11" t="n"/>
      <c r="R69" s="11" t="n"/>
      <c r="S69" s="11" t="n"/>
      <c r="T69" s="7" t="n"/>
      <c r="U69" s="7" t="n"/>
    </row>
    <row r="70">
      <c r="A70" s="2" t="n">
        <v>69</v>
      </c>
      <c r="B70" s="3" t="inlineStr">
        <is>
          <t>Will Smash Burger - Hamburgueria Artesanal</t>
        </is>
      </c>
      <c r="C70" s="3" t="inlineStr">
        <is>
          <t>Uberlândia</t>
        </is>
      </c>
      <c r="D70" s="2" t="inlineStr">
        <is>
          <t>MG</t>
        </is>
      </c>
      <c r="E70" s="3" t="inlineStr">
        <is>
          <t>Alto Umuarama</t>
        </is>
      </c>
      <c r="F70" s="4" t="inlineStr">
        <is>
          <t>abrir</t>
        </is>
      </c>
      <c r="G70" s="2" t="inlineStr"/>
      <c r="H70" s="5" t="n"/>
      <c r="I70" s="6" t="n"/>
      <c r="J70" s="2">
        <f>IF(I70="","",IF(I70&gt;=300,"Alta",IF(I70&gt;=100,"Média","Baixa")))</f>
        <v/>
      </c>
      <c r="K70" s="7" t="n"/>
      <c r="L70" s="7" t="n"/>
      <c r="M70" s="7" t="n"/>
      <c r="N70" s="8" t="n"/>
      <c r="O70" s="9">
        <f>IF(N70="","",N70*'Como usar'!$C$6)</f>
        <v/>
      </c>
      <c r="P70" s="10" t="n"/>
      <c r="Q70" s="11" t="n"/>
      <c r="R70" s="11" t="n"/>
      <c r="S70" s="11" t="n"/>
      <c r="T70" s="7" t="n"/>
      <c r="U70" s="7" t="n"/>
    </row>
    <row r="71">
      <c r="A71" s="2" t="n">
        <v>70</v>
      </c>
      <c r="B71" s="3" t="inlineStr">
        <is>
          <t>Zorro Burger - Hamburgueria</t>
        </is>
      </c>
      <c r="C71" s="3" t="inlineStr">
        <is>
          <t>Uberlândia</t>
        </is>
      </c>
      <c r="D71" s="2" t="inlineStr">
        <is>
          <t>MG</t>
        </is>
      </c>
      <c r="E71" s="3" t="inlineStr">
        <is>
          <t>Santa Mônica</t>
        </is>
      </c>
      <c r="F71" s="4" t="inlineStr">
        <is>
          <t>abrir</t>
        </is>
      </c>
      <c r="G71" s="2" t="inlineStr"/>
      <c r="H71" s="5" t="n"/>
      <c r="I71" s="6" t="n"/>
      <c r="J71" s="2">
        <f>IF(I71="","",IF(I71&gt;=300,"Alta",IF(I71&gt;=100,"Média","Baixa")))</f>
        <v/>
      </c>
      <c r="K71" s="7" t="n"/>
      <c r="L71" s="7" t="n"/>
      <c r="M71" s="7" t="n"/>
      <c r="N71" s="8" t="n"/>
      <c r="O71" s="9">
        <f>IF(N71="","",N71*'Como usar'!$C$6)</f>
        <v/>
      </c>
      <c r="P71" s="10" t="n"/>
      <c r="Q71" s="11" t="n"/>
      <c r="R71" s="11" t="n"/>
      <c r="S71" s="11" t="n"/>
      <c r="T71" s="7" t="n"/>
      <c r="U71" s="7" t="n"/>
    </row>
    <row r="72">
      <c r="A72" s="2" t="n">
        <v>71</v>
      </c>
      <c r="B72" s="3" t="inlineStr">
        <is>
          <t>Hamburgueria Betão (Burger Artesanal Prensado)</t>
        </is>
      </c>
      <c r="C72" s="3" t="inlineStr">
        <is>
          <t>Unaí</t>
        </is>
      </c>
      <c r="D72" s="2" t="inlineStr">
        <is>
          <t>MG</t>
        </is>
      </c>
      <c r="E72" s="3" t="inlineStr">
        <is>
          <t>Cachoeira</t>
        </is>
      </c>
      <c r="F72" s="4" t="inlineStr">
        <is>
          <t>abrir</t>
        </is>
      </c>
      <c r="G72" s="2" t="inlineStr"/>
      <c r="H72" s="5" t="n"/>
      <c r="I72" s="6" t="n"/>
      <c r="J72" s="2">
        <f>IF(I72="","",IF(I72&gt;=300,"Alta",IF(I72&gt;=100,"Média","Baixa")))</f>
        <v/>
      </c>
      <c r="K72" s="7" t="n"/>
      <c r="L72" s="7" t="n"/>
      <c r="M72" s="7" t="n"/>
      <c r="N72" s="8" t="n"/>
      <c r="O72" s="9">
        <f>IF(N72="","",N72*'Como usar'!$C$6)</f>
        <v/>
      </c>
      <c r="P72" s="10" t="n"/>
      <c r="Q72" s="11" t="n"/>
      <c r="R72" s="11" t="n"/>
      <c r="S72" s="11" t="n"/>
      <c r="T72" s="7" t="n"/>
      <c r="U72" s="7" t="n"/>
    </row>
    <row r="73">
      <c r="A73" s="2" t="n">
        <v>72</v>
      </c>
      <c r="B73" s="3" t="inlineStr">
        <is>
          <t>Arena Burger - Hambúrguer na Brasa</t>
        </is>
      </c>
      <c r="C73" s="3" t="inlineStr">
        <is>
          <t>Campo Grande</t>
        </is>
      </c>
      <c r="D73" s="2" t="inlineStr">
        <is>
          <t>MS</t>
        </is>
      </c>
      <c r="E73" s="3" t="inlineStr">
        <is>
          <t>Vila Carlota</t>
        </is>
      </c>
      <c r="F73" s="4" t="inlineStr">
        <is>
          <t>abrir</t>
        </is>
      </c>
      <c r="G73" s="2" t="inlineStr"/>
      <c r="H73" s="5" t="n"/>
      <c r="I73" s="6" t="n"/>
      <c r="J73" s="2">
        <f>IF(I73="","",IF(I73&gt;=300,"Alta",IF(I73&gt;=100,"Média","Baixa")))</f>
        <v/>
      </c>
      <c r="K73" s="7" t="n"/>
      <c r="L73" s="7" t="n"/>
      <c r="M73" s="7" t="n"/>
      <c r="N73" s="8" t="n"/>
      <c r="O73" s="9">
        <f>IF(N73="","",N73*'Como usar'!$C$6)</f>
        <v/>
      </c>
      <c r="P73" s="10" t="n"/>
      <c r="Q73" s="11" t="n"/>
      <c r="R73" s="11" t="n"/>
      <c r="S73" s="11" t="n"/>
      <c r="T73" s="7" t="n"/>
      <c r="U73" s="7" t="n"/>
    </row>
    <row r="74">
      <c r="A74" s="2" t="n">
        <v>73</v>
      </c>
      <c r="B74" s="3" t="inlineStr">
        <is>
          <t>Burger Pub - Hamburgueria</t>
        </is>
      </c>
      <c r="C74" s="3" t="inlineStr">
        <is>
          <t>Campo Grande</t>
        </is>
      </c>
      <c r="D74" s="2" t="inlineStr">
        <is>
          <t>MS</t>
        </is>
      </c>
      <c r="E74" s="3" t="inlineStr">
        <is>
          <t>Centro</t>
        </is>
      </c>
      <c r="F74" s="4" t="inlineStr">
        <is>
          <t>abrir</t>
        </is>
      </c>
      <c r="G74" s="2" t="inlineStr"/>
      <c r="H74" s="5" t="n"/>
      <c r="I74" s="6" t="n"/>
      <c r="J74" s="2">
        <f>IF(I74="","",IF(I74&gt;=300,"Alta",IF(I74&gt;=100,"Média","Baixa")))</f>
        <v/>
      </c>
      <c r="K74" s="7" t="n"/>
      <c r="L74" s="7" t="n"/>
      <c r="M74" s="7" t="n"/>
      <c r="N74" s="8" t="n"/>
      <c r="O74" s="9">
        <f>IF(N74="","",N74*'Como usar'!$C$6)</f>
        <v/>
      </c>
      <c r="P74" s="10" t="n"/>
      <c r="Q74" s="11" t="n"/>
      <c r="R74" s="11" t="n"/>
      <c r="S74" s="11" t="n"/>
      <c r="T74" s="7" t="n"/>
      <c r="U74" s="7" t="n"/>
    </row>
    <row r="75">
      <c r="A75" s="2" t="n">
        <v>74</v>
      </c>
      <c r="B75" s="3" t="inlineStr">
        <is>
          <t>Chef Burger 700</t>
        </is>
      </c>
      <c r="C75" s="3" t="inlineStr">
        <is>
          <t>Campo Grande</t>
        </is>
      </c>
      <c r="D75" s="2" t="inlineStr">
        <is>
          <t>MS</t>
        </is>
      </c>
      <c r="E75" s="3" t="inlineStr">
        <is>
          <t>Portal Panamá</t>
        </is>
      </c>
      <c r="F75" s="4" t="inlineStr">
        <is>
          <t>abrir</t>
        </is>
      </c>
      <c r="G75" s="2" t="inlineStr"/>
      <c r="H75" s="5" t="n"/>
      <c r="I75" s="6" t="n"/>
      <c r="J75" s="2">
        <f>IF(I75="","",IF(I75&gt;=300,"Alta",IF(I75&gt;=100,"Média","Baixa")))</f>
        <v/>
      </c>
      <c r="K75" s="7" t="n"/>
      <c r="L75" s="7" t="n"/>
      <c r="M75" s="7" t="n"/>
      <c r="N75" s="8" t="n"/>
      <c r="O75" s="9">
        <f>IF(N75="","",N75*'Como usar'!$C$6)</f>
        <v/>
      </c>
      <c r="P75" s="10" t="n"/>
      <c r="Q75" s="11" t="n"/>
      <c r="R75" s="11" t="n"/>
      <c r="S75" s="11" t="n"/>
      <c r="T75" s="7" t="n"/>
      <c r="U75" s="7" t="n"/>
    </row>
    <row r="76">
      <c r="A76" s="2" t="n">
        <v>75</v>
      </c>
      <c r="B76" s="3" t="inlineStr">
        <is>
          <t>Make Burgers - Hamburgueria</t>
        </is>
      </c>
      <c r="C76" s="3" t="inlineStr">
        <is>
          <t>Campo Grande</t>
        </is>
      </c>
      <c r="D76" s="2" t="inlineStr">
        <is>
          <t>MS</t>
        </is>
      </c>
      <c r="E76" s="3" t="inlineStr">
        <is>
          <t>Jardim dos Estados</t>
        </is>
      </c>
      <c r="F76" s="4" t="inlineStr">
        <is>
          <t>abrir</t>
        </is>
      </c>
      <c r="G76" s="2" t="inlineStr"/>
      <c r="H76" s="5" t="n"/>
      <c r="I76" s="6" t="n"/>
      <c r="J76" s="2">
        <f>IF(I76="","",IF(I76&gt;=300,"Alta",IF(I76&gt;=100,"Média","Baixa")))</f>
        <v/>
      </c>
      <c r="K76" s="7" t="n"/>
      <c r="L76" s="7" t="n"/>
      <c r="M76" s="7" t="n"/>
      <c r="N76" s="8" t="n"/>
      <c r="O76" s="9">
        <f>IF(N76="","",N76*'Como usar'!$C$6)</f>
        <v/>
      </c>
      <c r="P76" s="10" t="n"/>
      <c r="Q76" s="11" t="n"/>
      <c r="R76" s="11" t="n"/>
      <c r="S76" s="11" t="n"/>
      <c r="T76" s="7" t="n"/>
      <c r="U76" s="7" t="n"/>
    </row>
    <row r="77">
      <c r="A77" s="2" t="n">
        <v>76</v>
      </c>
      <c r="B77" s="3" t="inlineStr">
        <is>
          <t>Nabrasa Burger</t>
        </is>
      </c>
      <c r="C77" s="3" t="inlineStr">
        <is>
          <t>Campo Grande</t>
        </is>
      </c>
      <c r="D77" s="2" t="inlineStr">
        <is>
          <t>MS</t>
        </is>
      </c>
      <c r="E77" s="3" t="inlineStr">
        <is>
          <t>Jardim Paulista</t>
        </is>
      </c>
      <c r="F77" s="4" t="inlineStr">
        <is>
          <t>abrir</t>
        </is>
      </c>
      <c r="G77" s="2" t="inlineStr"/>
      <c r="H77" s="5" t="n"/>
      <c r="I77" s="6" t="n"/>
      <c r="J77" s="2">
        <f>IF(I77="","",IF(I77&gt;=300,"Alta",IF(I77&gt;=100,"Média","Baixa")))</f>
        <v/>
      </c>
      <c r="K77" s="7" t="n"/>
      <c r="L77" s="7" t="n"/>
      <c r="M77" s="7" t="n"/>
      <c r="N77" s="8" t="n"/>
      <c r="O77" s="9">
        <f>IF(N77="","",N77*'Como usar'!$C$6)</f>
        <v/>
      </c>
      <c r="P77" s="10" t="n"/>
      <c r="Q77" s="11" t="n"/>
      <c r="R77" s="11" t="n"/>
      <c r="S77" s="11" t="n"/>
      <c r="T77" s="7" t="n"/>
      <c r="U77" s="7" t="n"/>
    </row>
    <row r="78">
      <c r="A78" s="2" t="n">
        <v>77</v>
      </c>
      <c r="B78" s="3" t="inlineStr">
        <is>
          <t>065 Hamburgueria</t>
        </is>
      </c>
      <c r="C78" s="3" t="inlineStr">
        <is>
          <t>Cuiabá</t>
        </is>
      </c>
      <c r="D78" s="2" t="inlineStr">
        <is>
          <t>MT</t>
        </is>
      </c>
      <c r="E78" s="3" t="inlineStr">
        <is>
          <t>Novo Horizonte</t>
        </is>
      </c>
      <c r="F78" s="4" t="inlineStr">
        <is>
          <t>abrir</t>
        </is>
      </c>
      <c r="G78" s="2" t="inlineStr"/>
      <c r="H78" s="5" t="n"/>
      <c r="I78" s="6" t="n"/>
      <c r="J78" s="2">
        <f>IF(I78="","",IF(I78&gt;=300,"Alta",IF(I78&gt;=100,"Média","Baixa")))</f>
        <v/>
      </c>
      <c r="K78" s="7" t="n"/>
      <c r="L78" s="7" t="n"/>
      <c r="M78" s="7" t="n"/>
      <c r="N78" s="8" t="n"/>
      <c r="O78" s="9">
        <f>IF(N78="","",N78*'Como usar'!$C$6)</f>
        <v/>
      </c>
      <c r="P78" s="10" t="n"/>
      <c r="Q78" s="11" t="n"/>
      <c r="R78" s="11" t="n"/>
      <c r="S78" s="11" t="n"/>
      <c r="T78" s="7" t="n"/>
      <c r="U78" s="7" t="n"/>
    </row>
    <row r="79">
      <c r="A79" s="2" t="n">
        <v>78</v>
      </c>
      <c r="B79" s="3" t="inlineStr">
        <is>
          <t>Blazze Burger - Hamburguer Artesanal</t>
        </is>
      </c>
      <c r="C79" s="3" t="inlineStr">
        <is>
          <t>Cuiabá</t>
        </is>
      </c>
      <c r="D79" s="2" t="inlineStr">
        <is>
          <t>MT</t>
        </is>
      </c>
      <c r="E79" s="3" t="inlineStr">
        <is>
          <t>Morada do Ouro</t>
        </is>
      </c>
      <c r="F79" s="4" t="inlineStr">
        <is>
          <t>abrir</t>
        </is>
      </c>
      <c r="G79" s="2" t="inlineStr"/>
      <c r="H79" s="5" t="n"/>
      <c r="I79" s="6" t="n"/>
      <c r="J79" s="2">
        <f>IF(I79="","",IF(I79&gt;=300,"Alta",IF(I79&gt;=100,"Média","Baixa")))</f>
        <v/>
      </c>
      <c r="K79" s="7" t="n"/>
      <c r="L79" s="7" t="n"/>
      <c r="M79" s="7" t="n"/>
      <c r="N79" s="8" t="n"/>
      <c r="O79" s="9">
        <f>IF(N79="","",N79*'Como usar'!$C$6)</f>
        <v/>
      </c>
      <c r="P79" s="10" t="n"/>
      <c r="Q79" s="11" t="n"/>
      <c r="R79" s="11" t="n"/>
      <c r="S79" s="11" t="n"/>
      <c r="T79" s="7" t="n"/>
      <c r="U79" s="7" t="n"/>
    </row>
    <row r="80">
      <c r="A80" s="2" t="n">
        <v>79</v>
      </c>
      <c r="B80" s="3" t="inlineStr">
        <is>
          <t>Blend Hamburgueria Artesanal</t>
        </is>
      </c>
      <c r="C80" s="3" t="inlineStr">
        <is>
          <t>Cuiabá</t>
        </is>
      </c>
      <c r="D80" s="2" t="inlineStr">
        <is>
          <t>MT</t>
        </is>
      </c>
      <c r="E80" s="3" t="inlineStr">
        <is>
          <t>Popular</t>
        </is>
      </c>
      <c r="F80" s="4" t="inlineStr">
        <is>
          <t>abrir</t>
        </is>
      </c>
      <c r="G80" s="2" t="inlineStr"/>
      <c r="H80" s="5" t="n"/>
      <c r="I80" s="6" t="n"/>
      <c r="J80" s="2">
        <f>IF(I80="","",IF(I80&gt;=300,"Alta",IF(I80&gt;=100,"Média","Baixa")))</f>
        <v/>
      </c>
      <c r="K80" s="7" t="n"/>
      <c r="L80" s="7" t="n"/>
      <c r="M80" s="7" t="n"/>
      <c r="N80" s="8" t="n"/>
      <c r="O80" s="9">
        <f>IF(N80="","",N80*'Como usar'!$C$6)</f>
        <v/>
      </c>
      <c r="P80" s="10" t="n"/>
      <c r="Q80" s="11" t="n"/>
      <c r="R80" s="11" t="n"/>
      <c r="S80" s="11" t="n"/>
      <c r="T80" s="7" t="n"/>
      <c r="U80" s="7" t="n"/>
    </row>
    <row r="81">
      <c r="A81" s="2" t="n">
        <v>80</v>
      </c>
      <c r="B81" s="3" t="inlineStr">
        <is>
          <t>Burguer na Praça</t>
        </is>
      </c>
      <c r="C81" s="3" t="inlineStr">
        <is>
          <t>Cuiabá</t>
        </is>
      </c>
      <c r="D81" s="2" t="inlineStr">
        <is>
          <t>MT</t>
        </is>
      </c>
      <c r="E81" s="3" t="inlineStr">
        <is>
          <t>Popular</t>
        </is>
      </c>
      <c r="F81" s="4" t="inlineStr">
        <is>
          <t>abrir</t>
        </is>
      </c>
      <c r="G81" s="2" t="inlineStr"/>
      <c r="H81" s="5" t="n"/>
      <c r="I81" s="6" t="n"/>
      <c r="J81" s="2">
        <f>IF(I81="","",IF(I81&gt;=300,"Alta",IF(I81&gt;=100,"Média","Baixa")))</f>
        <v/>
      </c>
      <c r="K81" s="7" t="n"/>
      <c r="L81" s="7" t="n"/>
      <c r="M81" s="7" t="n"/>
      <c r="N81" s="8" t="n"/>
      <c r="O81" s="9">
        <f>IF(N81="","",N81*'Como usar'!$C$6)</f>
        <v/>
      </c>
      <c r="P81" s="10" t="n"/>
      <c r="Q81" s="11" t="n"/>
      <c r="R81" s="11" t="n"/>
      <c r="S81" s="11" t="n"/>
      <c r="T81" s="7" t="n"/>
      <c r="U81" s="7" t="n"/>
    </row>
    <row r="82">
      <c r="A82" s="2" t="n">
        <v>81</v>
      </c>
      <c r="B82" s="3" t="inlineStr">
        <is>
          <t>Cirinos Smash Burger</t>
        </is>
      </c>
      <c r="C82" s="3" t="inlineStr">
        <is>
          <t>Cuiabá</t>
        </is>
      </c>
      <c r="D82" s="2" t="inlineStr">
        <is>
          <t>MT</t>
        </is>
      </c>
      <c r="E82" s="3" t="inlineStr">
        <is>
          <t>Morada dos Nobres</t>
        </is>
      </c>
      <c r="F82" s="4" t="inlineStr">
        <is>
          <t>abrir</t>
        </is>
      </c>
      <c r="G82" s="2" t="inlineStr"/>
      <c r="H82" s="5" t="n"/>
      <c r="I82" s="6" t="n"/>
      <c r="J82" s="2">
        <f>IF(I82="","",IF(I82&gt;=300,"Alta",IF(I82&gt;=100,"Média","Baixa")))</f>
        <v/>
      </c>
      <c r="K82" s="7" t="n"/>
      <c r="L82" s="7" t="n"/>
      <c r="M82" s="7" t="n"/>
      <c r="N82" s="8" t="n"/>
      <c r="O82" s="9">
        <f>IF(N82="","",N82*'Como usar'!$C$6)</f>
        <v/>
      </c>
      <c r="P82" s="10" t="n"/>
      <c r="Q82" s="11" t="n"/>
      <c r="R82" s="11" t="n"/>
      <c r="S82" s="11" t="n"/>
      <c r="T82" s="7" t="n"/>
      <c r="U82" s="7" t="n"/>
    </row>
    <row r="83">
      <c r="A83" s="2" t="n">
        <v>82</v>
      </c>
      <c r="B83" s="3" t="inlineStr">
        <is>
          <t>Hamburgueria Black Burguer Cuiabá</t>
        </is>
      </c>
      <c r="C83" s="3" t="inlineStr">
        <is>
          <t>Cuiabá</t>
        </is>
      </c>
      <c r="D83" s="2" t="inlineStr">
        <is>
          <t>MT</t>
        </is>
      </c>
      <c r="E83" s="3" t="inlineStr">
        <is>
          <t>Popular</t>
        </is>
      </c>
      <c r="F83" s="4" t="inlineStr">
        <is>
          <t>abrir</t>
        </is>
      </c>
      <c r="G83" s="2" t="inlineStr"/>
      <c r="H83" s="5" t="n"/>
      <c r="I83" s="6" t="n"/>
      <c r="J83" s="2">
        <f>IF(I83="","",IF(I83&gt;=300,"Alta",IF(I83&gt;=100,"Média","Baixa")))</f>
        <v/>
      </c>
      <c r="K83" s="7" t="n"/>
      <c r="L83" s="7" t="n"/>
      <c r="M83" s="7" t="n"/>
      <c r="N83" s="8" t="n"/>
      <c r="O83" s="9">
        <f>IF(N83="","",N83*'Como usar'!$C$6)</f>
        <v/>
      </c>
      <c r="P83" s="10" t="n"/>
      <c r="Q83" s="11" t="n"/>
      <c r="R83" s="11" t="n"/>
      <c r="S83" s="11" t="n"/>
      <c r="T83" s="7" t="n"/>
      <c r="U83" s="7" t="n"/>
    </row>
    <row r="84">
      <c r="A84" s="2" t="n">
        <v>83</v>
      </c>
      <c r="B84" s="3" t="inlineStr">
        <is>
          <t>Master Burgers - Hambúrguer</t>
        </is>
      </c>
      <c r="C84" s="3" t="inlineStr">
        <is>
          <t>Cuiabá</t>
        </is>
      </c>
      <c r="D84" s="2" t="inlineStr">
        <is>
          <t>MT</t>
        </is>
      </c>
      <c r="E84" s="3" t="inlineStr">
        <is>
          <t>Alvorada</t>
        </is>
      </c>
      <c r="F84" s="4" t="inlineStr">
        <is>
          <t>abrir</t>
        </is>
      </c>
      <c r="G84" s="2" t="inlineStr"/>
      <c r="H84" s="5" t="n"/>
      <c r="I84" s="6" t="n"/>
      <c r="J84" s="2">
        <f>IF(I84="","",IF(I84&gt;=300,"Alta",IF(I84&gt;=100,"Média","Baixa")))</f>
        <v/>
      </c>
      <c r="K84" s="7" t="n"/>
      <c r="L84" s="7" t="n"/>
      <c r="M84" s="7" t="n"/>
      <c r="N84" s="8" t="n"/>
      <c r="O84" s="9">
        <f>IF(N84="","",N84*'Como usar'!$C$6)</f>
        <v/>
      </c>
      <c r="P84" s="10" t="n"/>
      <c r="Q84" s="11" t="n"/>
      <c r="R84" s="11" t="n"/>
      <c r="S84" s="11" t="n"/>
      <c r="T84" s="7" t="n"/>
      <c r="U84" s="7" t="n"/>
    </row>
    <row r="85">
      <c r="A85" s="2" t="n">
        <v>84</v>
      </c>
      <c r="B85" s="3" t="inlineStr">
        <is>
          <t>Quality Hamburgueria (oficial)</t>
        </is>
      </c>
      <c r="C85" s="3" t="inlineStr">
        <is>
          <t>Cuiabá</t>
        </is>
      </c>
      <c r="D85" s="2" t="inlineStr">
        <is>
          <t>MT</t>
        </is>
      </c>
      <c r="E85" s="3" t="inlineStr">
        <is>
          <t>Jardim Petrópolis</t>
        </is>
      </c>
      <c r="F85" s="4" t="inlineStr">
        <is>
          <t>abrir</t>
        </is>
      </c>
      <c r="G85" s="2" t="inlineStr"/>
      <c r="H85" s="5" t="n"/>
      <c r="I85" s="6" t="n"/>
      <c r="J85" s="2">
        <f>IF(I85="","",IF(I85&gt;=300,"Alta",IF(I85&gt;=100,"Média","Baixa")))</f>
        <v/>
      </c>
      <c r="K85" s="7" t="n"/>
      <c r="L85" s="7" t="n"/>
      <c r="M85" s="7" t="n"/>
      <c r="N85" s="8" t="n"/>
      <c r="O85" s="9">
        <f>IF(N85="","",N85*'Como usar'!$C$6)</f>
        <v/>
      </c>
      <c r="P85" s="10" t="n"/>
      <c r="Q85" s="11" t="n"/>
      <c r="R85" s="11" t="n"/>
      <c r="S85" s="11" t="n"/>
      <c r="T85" s="7" t="n"/>
      <c r="U85" s="7" t="n"/>
    </row>
    <row r="86">
      <c r="A86" s="2" t="n">
        <v>85</v>
      </c>
      <c r="B86" s="3" t="inlineStr">
        <is>
          <t>Papachibe Burger</t>
        </is>
      </c>
      <c r="C86" s="3" t="inlineStr">
        <is>
          <t>Belém</t>
        </is>
      </c>
      <c r="D86" s="2" t="inlineStr">
        <is>
          <t>PA</t>
        </is>
      </c>
      <c r="E86" s="3" t="inlineStr">
        <is>
          <t>Pedreira</t>
        </is>
      </c>
      <c r="F86" s="4" t="inlineStr">
        <is>
          <t>abrir</t>
        </is>
      </c>
      <c r="G86" s="2" t="inlineStr"/>
      <c r="H86" s="5" t="n"/>
      <c r="I86" s="6" t="n"/>
      <c r="J86" s="2">
        <f>IF(I86="","",IF(I86&gt;=300,"Alta",IF(I86&gt;=100,"Média","Baixa")))</f>
        <v/>
      </c>
      <c r="K86" s="7" t="n"/>
      <c r="L86" s="7" t="n"/>
      <c r="M86" s="7" t="n"/>
      <c r="N86" s="8" t="n"/>
      <c r="O86" s="9">
        <f>IF(N86="","",N86*'Como usar'!$C$6)</f>
        <v/>
      </c>
      <c r="P86" s="10" t="n"/>
      <c r="Q86" s="11" t="n"/>
      <c r="R86" s="11" t="n"/>
      <c r="S86" s="11" t="n"/>
      <c r="T86" s="7" t="n"/>
      <c r="U86" s="7" t="n"/>
    </row>
    <row r="87">
      <c r="A87" s="2" t="n">
        <v>86</v>
      </c>
      <c r="B87" s="3" t="inlineStr">
        <is>
          <t>Porpino Burger</t>
        </is>
      </c>
      <c r="C87" s="3" t="inlineStr">
        <is>
          <t>Belém</t>
        </is>
      </c>
      <c r="D87" s="2" t="inlineStr">
        <is>
          <t>PA</t>
        </is>
      </c>
      <c r="E87" s="3" t="inlineStr">
        <is>
          <t>Umarizal</t>
        </is>
      </c>
      <c r="F87" s="4" t="inlineStr">
        <is>
          <t>abrir</t>
        </is>
      </c>
      <c r="G87" s="2" t="inlineStr">
        <is>
          <t>Sim</t>
        </is>
      </c>
      <c r="H87" s="5" t="n"/>
      <c r="I87" s="6" t="n"/>
      <c r="J87" s="2">
        <f>IF(I87="","",IF(I87&gt;=300,"Alta",IF(I87&gt;=100,"Média","Baixa")))</f>
        <v/>
      </c>
      <c r="K87" s="7" t="n"/>
      <c r="L87" s="7" t="n"/>
      <c r="M87" s="7" t="n"/>
      <c r="N87" s="8" t="n"/>
      <c r="O87" s="9">
        <f>IF(N87="","",N87*'Como usar'!$C$6)</f>
        <v/>
      </c>
      <c r="P87" s="10" t="n"/>
      <c r="Q87" s="11" t="n"/>
      <c r="R87" s="11" t="n"/>
      <c r="S87" s="11" t="n"/>
      <c r="T87" s="7" t="n"/>
      <c r="U87" s="7" t="n"/>
    </row>
    <row r="88">
      <c r="A88" s="2" t="n">
        <v>87</v>
      </c>
      <c r="B88" s="3" t="inlineStr">
        <is>
          <t>Rusty Burger - Hamburgueria</t>
        </is>
      </c>
      <c r="C88" s="3" t="inlineStr">
        <is>
          <t>Belém</t>
        </is>
      </c>
      <c r="D88" s="2" t="inlineStr">
        <is>
          <t>PA</t>
        </is>
      </c>
      <c r="E88" s="3" t="inlineStr">
        <is>
          <t>Umarizal</t>
        </is>
      </c>
      <c r="F88" s="4" t="inlineStr">
        <is>
          <t>abrir</t>
        </is>
      </c>
      <c r="G88" s="2" t="inlineStr"/>
      <c r="H88" s="5" t="n"/>
      <c r="I88" s="6" t="n"/>
      <c r="J88" s="2">
        <f>IF(I88="","",IF(I88&gt;=300,"Alta",IF(I88&gt;=100,"Média","Baixa")))</f>
        <v/>
      </c>
      <c r="K88" s="7" t="n"/>
      <c r="L88" s="7" t="n"/>
      <c r="M88" s="7" t="n"/>
      <c r="N88" s="8" t="n"/>
      <c r="O88" s="9">
        <f>IF(N88="","",N88*'Como usar'!$C$6)</f>
        <v/>
      </c>
      <c r="P88" s="10" t="n"/>
      <c r="Q88" s="11" t="n"/>
      <c r="R88" s="11" t="n"/>
      <c r="S88" s="11" t="n"/>
      <c r="T88" s="7" t="n"/>
      <c r="U88" s="7" t="n"/>
    </row>
    <row r="89">
      <c r="A89" s="2" t="n">
        <v>88</v>
      </c>
      <c r="B89" s="3" t="inlineStr">
        <is>
          <t>Shake Burger Hamburgueria</t>
        </is>
      </c>
      <c r="C89" s="3" t="inlineStr">
        <is>
          <t>Belém</t>
        </is>
      </c>
      <c r="D89" s="2" t="inlineStr">
        <is>
          <t>PA</t>
        </is>
      </c>
      <c r="E89" s="3" t="inlineStr">
        <is>
          <t>Nazaré</t>
        </is>
      </c>
      <c r="F89" s="4" t="inlineStr">
        <is>
          <t>abrir</t>
        </is>
      </c>
      <c r="G89" s="2" t="inlineStr"/>
      <c r="H89" s="5" t="n"/>
      <c r="I89" s="6" t="n"/>
      <c r="J89" s="2">
        <f>IF(I89="","",IF(I89&gt;=300,"Alta",IF(I89&gt;=100,"Média","Baixa")))</f>
        <v/>
      </c>
      <c r="K89" s="7" t="n"/>
      <c r="L89" s="7" t="n"/>
      <c r="M89" s="7" t="n"/>
      <c r="N89" s="8" t="n"/>
      <c r="O89" s="9">
        <f>IF(N89="","",N89*'Como usar'!$C$6)</f>
        <v/>
      </c>
      <c r="P89" s="10" t="n"/>
      <c r="Q89" s="11" t="n"/>
      <c r="R89" s="11" t="n"/>
      <c r="S89" s="11" t="n"/>
      <c r="T89" s="7" t="n"/>
      <c r="U89" s="7" t="n"/>
    </row>
    <row r="90">
      <c r="A90" s="2" t="n">
        <v>89</v>
      </c>
      <c r="B90" s="3" t="inlineStr">
        <is>
          <t>Smash Point Burger</t>
        </is>
      </c>
      <c r="C90" s="3" t="inlineStr">
        <is>
          <t>Belém</t>
        </is>
      </c>
      <c r="D90" s="2" t="inlineStr">
        <is>
          <t>PA</t>
        </is>
      </c>
      <c r="E90" s="3" t="inlineStr">
        <is>
          <t>Pedreira</t>
        </is>
      </c>
      <c r="F90" s="4" t="inlineStr">
        <is>
          <t>abrir</t>
        </is>
      </c>
      <c r="G90" s="2" t="inlineStr"/>
      <c r="H90" s="5" t="n"/>
      <c r="I90" s="6" t="n"/>
      <c r="J90" s="2">
        <f>IF(I90="","",IF(I90&gt;=300,"Alta",IF(I90&gt;=100,"Média","Baixa")))</f>
        <v/>
      </c>
      <c r="K90" s="7" t="n"/>
      <c r="L90" s="7" t="n"/>
      <c r="M90" s="7" t="n"/>
      <c r="N90" s="8" t="n"/>
      <c r="O90" s="9">
        <f>IF(N90="","",N90*'Como usar'!$C$6)</f>
        <v/>
      </c>
      <c r="P90" s="10" t="n"/>
      <c r="Q90" s="11" t="n"/>
      <c r="R90" s="11" t="n"/>
      <c r="S90" s="11" t="n"/>
      <c r="T90" s="7" t="n"/>
      <c r="U90" s="7" t="n"/>
    </row>
    <row r="91">
      <c r="A91" s="2" t="n">
        <v>90</v>
      </c>
      <c r="B91" s="3" t="inlineStr">
        <is>
          <t>Burger in Pack - Hambúrguer Smash</t>
        </is>
      </c>
      <c r="C91" s="3" t="inlineStr">
        <is>
          <t>João Pessoa</t>
        </is>
      </c>
      <c r="D91" s="2" t="inlineStr">
        <is>
          <t>PB</t>
        </is>
      </c>
      <c r="E91" s="3" t="inlineStr">
        <is>
          <t>Tambaú</t>
        </is>
      </c>
      <c r="F91" s="4" t="inlineStr">
        <is>
          <t>abrir</t>
        </is>
      </c>
      <c r="G91" s="2" t="inlineStr"/>
      <c r="H91" s="5" t="n"/>
      <c r="I91" s="6" t="n"/>
      <c r="J91" s="2">
        <f>IF(I91="","",IF(I91&gt;=300,"Alta",IF(I91&gt;=100,"Média","Baixa")))</f>
        <v/>
      </c>
      <c r="K91" s="7" t="n"/>
      <c r="L91" s="7" t="n"/>
      <c r="M91" s="7" t="n"/>
      <c r="N91" s="8" t="n"/>
      <c r="O91" s="9">
        <f>IF(N91="","",N91*'Como usar'!$C$6)</f>
        <v/>
      </c>
      <c r="P91" s="10" t="n"/>
      <c r="Q91" s="11" t="n"/>
      <c r="R91" s="11" t="n"/>
      <c r="S91" s="11" t="n"/>
      <c r="T91" s="7" t="n"/>
      <c r="U91" s="7" t="n"/>
    </row>
    <row r="92">
      <c r="A92" s="2" t="n">
        <v>91</v>
      </c>
      <c r="B92" s="3" t="inlineStr">
        <is>
          <t>Cabrones Hamburgueria</t>
        </is>
      </c>
      <c r="C92" s="3" t="inlineStr">
        <is>
          <t>João Pessoa</t>
        </is>
      </c>
      <c r="D92" s="2" t="inlineStr">
        <is>
          <t>PB</t>
        </is>
      </c>
      <c r="E92" s="3" t="inlineStr">
        <is>
          <t>Brisamar</t>
        </is>
      </c>
      <c r="F92" s="4" t="inlineStr">
        <is>
          <t>abrir</t>
        </is>
      </c>
      <c r="G92" s="2" t="inlineStr"/>
      <c r="H92" s="5" t="n"/>
      <c r="I92" s="6" t="n"/>
      <c r="J92" s="2">
        <f>IF(I92="","",IF(I92&gt;=300,"Alta",IF(I92&gt;=100,"Média","Baixa")))</f>
        <v/>
      </c>
      <c r="K92" s="7" t="n"/>
      <c r="L92" s="7" t="n"/>
      <c r="M92" s="7" t="n"/>
      <c r="N92" s="8" t="n"/>
      <c r="O92" s="9">
        <f>IF(N92="","",N92*'Como usar'!$C$6)</f>
        <v/>
      </c>
      <c r="P92" s="10" t="n"/>
      <c r="Q92" s="11" t="n"/>
      <c r="R92" s="11" t="n"/>
      <c r="S92" s="11" t="n"/>
      <c r="T92" s="7" t="n"/>
      <c r="U92" s="7" t="n"/>
    </row>
    <row r="93">
      <c r="A93" s="2" t="n">
        <v>92</v>
      </c>
      <c r="B93" s="3" t="inlineStr">
        <is>
          <t>Grill Burguer - Hamburguer Artesanal</t>
        </is>
      </c>
      <c r="C93" s="3" t="inlineStr">
        <is>
          <t>João Pessoa</t>
        </is>
      </c>
      <c r="D93" s="2" t="inlineStr">
        <is>
          <t>PB</t>
        </is>
      </c>
      <c r="E93" s="3" t="inlineStr">
        <is>
          <t>José Américo de Almeida</t>
        </is>
      </c>
      <c r="F93" s="4" t="inlineStr">
        <is>
          <t>abrir</t>
        </is>
      </c>
      <c r="G93" s="2" t="inlineStr"/>
      <c r="H93" s="5" t="n"/>
      <c r="I93" s="6" t="n"/>
      <c r="J93" s="2">
        <f>IF(I93="","",IF(I93&gt;=300,"Alta",IF(I93&gt;=100,"Média","Baixa")))</f>
        <v/>
      </c>
      <c r="K93" s="7" t="n"/>
      <c r="L93" s="7" t="n"/>
      <c r="M93" s="7" t="n"/>
      <c r="N93" s="8" t="n"/>
      <c r="O93" s="9">
        <f>IF(N93="","",N93*'Como usar'!$C$6)</f>
        <v/>
      </c>
      <c r="P93" s="10" t="n"/>
      <c r="Q93" s="11" t="n"/>
      <c r="R93" s="11" t="n"/>
      <c r="S93" s="11" t="n"/>
      <c r="T93" s="7" t="n"/>
      <c r="U93" s="7" t="n"/>
    </row>
    <row r="94">
      <c r="A94" s="2" t="n">
        <v>93</v>
      </c>
      <c r="B94" s="3" t="inlineStr">
        <is>
          <t>Home Burger - Hamburgueria</t>
        </is>
      </c>
      <c r="C94" s="3" t="inlineStr">
        <is>
          <t>João Pessoa</t>
        </is>
      </c>
      <c r="D94" s="2" t="inlineStr">
        <is>
          <t>PB</t>
        </is>
      </c>
      <c r="E94" s="3" t="inlineStr">
        <is>
          <t>Manaíra</t>
        </is>
      </c>
      <c r="F94" s="4" t="inlineStr">
        <is>
          <t>abrir</t>
        </is>
      </c>
      <c r="G94" s="2" t="inlineStr"/>
      <c r="H94" s="5" t="n"/>
      <c r="I94" s="6" t="n"/>
      <c r="J94" s="2">
        <f>IF(I94="","",IF(I94&gt;=300,"Alta",IF(I94&gt;=100,"Média","Baixa")))</f>
        <v/>
      </c>
      <c r="K94" s="7" t="n"/>
      <c r="L94" s="7" t="n"/>
      <c r="M94" s="7" t="n"/>
      <c r="N94" s="8" t="n"/>
      <c r="O94" s="9">
        <f>IF(N94="","",N94*'Como usar'!$C$6)</f>
        <v/>
      </c>
      <c r="P94" s="10" t="n"/>
      <c r="Q94" s="11" t="n"/>
      <c r="R94" s="11" t="n"/>
      <c r="S94" s="11" t="n"/>
      <c r="T94" s="7" t="n"/>
      <c r="U94" s="7" t="n"/>
    </row>
    <row r="95">
      <c r="A95" s="2" t="n">
        <v>94</v>
      </c>
      <c r="B95" s="3" t="inlineStr">
        <is>
          <t>Royale Burger - Hamburgueria Artesanal</t>
        </is>
      </c>
      <c r="C95" s="3" t="inlineStr">
        <is>
          <t>João Pessoa</t>
        </is>
      </c>
      <c r="D95" s="2" t="inlineStr">
        <is>
          <t>PB</t>
        </is>
      </c>
      <c r="E95" s="3" t="inlineStr">
        <is>
          <t>Mangabeira</t>
        </is>
      </c>
      <c r="F95" s="4" t="inlineStr">
        <is>
          <t>abrir</t>
        </is>
      </c>
      <c r="G95" s="2" t="inlineStr"/>
      <c r="H95" s="5" t="n"/>
      <c r="I95" s="6" t="n"/>
      <c r="J95" s="2">
        <f>IF(I95="","",IF(I95&gt;=300,"Alta",IF(I95&gt;=100,"Média","Baixa")))</f>
        <v/>
      </c>
      <c r="K95" s="7" t="n"/>
      <c r="L95" s="7" t="n"/>
      <c r="M95" s="7" t="n"/>
      <c r="N95" s="8" t="n"/>
      <c r="O95" s="9">
        <f>IF(N95="","",N95*'Como usar'!$C$6)</f>
        <v/>
      </c>
      <c r="P95" s="10" t="n"/>
      <c r="Q95" s="11" t="n"/>
      <c r="R95" s="11" t="n"/>
      <c r="S95" s="11" t="n"/>
      <c r="T95" s="7" t="n"/>
      <c r="U95" s="7" t="n"/>
    </row>
    <row r="96">
      <c r="A96" s="2" t="n">
        <v>95</v>
      </c>
      <c r="B96" s="3" t="inlineStr">
        <is>
          <t>Smash Hambúrguer Artesanal</t>
        </is>
      </c>
      <c r="C96" s="3" t="inlineStr">
        <is>
          <t>João Pessoa</t>
        </is>
      </c>
      <c r="D96" s="2" t="inlineStr">
        <is>
          <t>PB</t>
        </is>
      </c>
      <c r="E96" s="3" t="inlineStr">
        <is>
          <t>Jardim Oceania</t>
        </is>
      </c>
      <c r="F96" s="4" t="inlineStr">
        <is>
          <t>abrir</t>
        </is>
      </c>
      <c r="G96" s="2" t="inlineStr"/>
      <c r="H96" s="5" t="n"/>
      <c r="I96" s="6" t="n"/>
      <c r="J96" s="2">
        <f>IF(I96="","",IF(I96&gt;=300,"Alta",IF(I96&gt;=100,"Média","Baixa")))</f>
        <v/>
      </c>
      <c r="K96" s="7" t="n"/>
      <c r="L96" s="7" t="n"/>
      <c r="M96" s="7" t="n"/>
      <c r="N96" s="8" t="n"/>
      <c r="O96" s="9">
        <f>IF(N96="","",N96*'Como usar'!$C$6)</f>
        <v/>
      </c>
      <c r="P96" s="10" t="n"/>
      <c r="Q96" s="11" t="n"/>
      <c r="R96" s="11" t="n"/>
      <c r="S96" s="11" t="n"/>
      <c r="T96" s="7" t="n"/>
      <c r="U96" s="7" t="n"/>
    </row>
    <row r="97">
      <c r="A97" s="2" t="n">
        <v>96</v>
      </c>
      <c r="B97" s="3" t="inlineStr">
        <is>
          <t>Squeeze Burger - Hambúrguer Smash</t>
        </is>
      </c>
      <c r="C97" s="3" t="inlineStr">
        <is>
          <t>João Pessoa</t>
        </is>
      </c>
      <c r="D97" s="2" t="inlineStr">
        <is>
          <t>PB</t>
        </is>
      </c>
      <c r="E97" s="3" t="inlineStr">
        <is>
          <t>Manaíra</t>
        </is>
      </c>
      <c r="F97" s="4" t="inlineStr">
        <is>
          <t>abrir</t>
        </is>
      </c>
      <c r="G97" s="2" t="inlineStr"/>
      <c r="H97" s="5" t="n"/>
      <c r="I97" s="6" t="n"/>
      <c r="J97" s="2">
        <f>IF(I97="","",IF(I97&gt;=300,"Alta",IF(I97&gt;=100,"Média","Baixa")))</f>
        <v/>
      </c>
      <c r="K97" s="7" t="n"/>
      <c r="L97" s="7" t="n"/>
      <c r="M97" s="7" t="n"/>
      <c r="N97" s="8" t="n"/>
      <c r="O97" s="9">
        <f>IF(N97="","",N97*'Como usar'!$C$6)</f>
        <v/>
      </c>
      <c r="P97" s="10" t="n"/>
      <c r="Q97" s="11" t="n"/>
      <c r="R97" s="11" t="n"/>
      <c r="S97" s="11" t="n"/>
      <c r="T97" s="7" t="n"/>
      <c r="U97" s="7" t="n"/>
    </row>
    <row r="98">
      <c r="A98" s="2" t="n">
        <v>97</v>
      </c>
      <c r="B98" s="3" t="inlineStr">
        <is>
          <t>The Lab Burger's - Hambúrguer Artesanal</t>
        </is>
      </c>
      <c r="C98" s="3" t="inlineStr">
        <is>
          <t>João Pessoa</t>
        </is>
      </c>
      <c r="D98" s="2" t="inlineStr">
        <is>
          <t>PB</t>
        </is>
      </c>
      <c r="E98" s="3" t="inlineStr">
        <is>
          <t>Bancários</t>
        </is>
      </c>
      <c r="F98" s="4" t="inlineStr">
        <is>
          <t>abrir</t>
        </is>
      </c>
      <c r="G98" s="2" t="inlineStr"/>
      <c r="H98" s="5" t="n"/>
      <c r="I98" s="6" t="n"/>
      <c r="J98" s="2">
        <f>IF(I98="","",IF(I98&gt;=300,"Alta",IF(I98&gt;=100,"Média","Baixa")))</f>
        <v/>
      </c>
      <c r="K98" s="7" t="n"/>
      <c r="L98" s="7" t="n"/>
      <c r="M98" s="7" t="n"/>
      <c r="N98" s="8" t="n"/>
      <c r="O98" s="9">
        <f>IF(N98="","",N98*'Como usar'!$C$6)</f>
        <v/>
      </c>
      <c r="P98" s="10" t="n"/>
      <c r="Q98" s="11" t="n"/>
      <c r="R98" s="11" t="n"/>
      <c r="S98" s="11" t="n"/>
      <c r="T98" s="7" t="n"/>
      <c r="U98" s="7" t="n"/>
    </row>
    <row r="99">
      <c r="A99" s="2" t="n">
        <v>98</v>
      </c>
      <c r="B99" s="3" t="inlineStr">
        <is>
          <t>West Burger - Hambúrguer &amp; Smash</t>
        </is>
      </c>
      <c r="C99" s="3" t="inlineStr">
        <is>
          <t>João Pessoa</t>
        </is>
      </c>
      <c r="D99" s="2" t="inlineStr">
        <is>
          <t>PB</t>
        </is>
      </c>
      <c r="E99" s="3" t="inlineStr">
        <is>
          <t>Tambauzinho</t>
        </is>
      </c>
      <c r="F99" s="4" t="inlineStr">
        <is>
          <t>abrir</t>
        </is>
      </c>
      <c r="G99" s="2" t="inlineStr"/>
      <c r="H99" s="5" t="n"/>
      <c r="I99" s="6" t="n"/>
      <c r="J99" s="2">
        <f>IF(I99="","",IF(I99&gt;=300,"Alta",IF(I99&gt;=100,"Média","Baixa")))</f>
        <v/>
      </c>
      <c r="K99" s="7" t="n"/>
      <c r="L99" s="7" t="n"/>
      <c r="M99" s="7" t="n"/>
      <c r="N99" s="8" t="n"/>
      <c r="O99" s="9">
        <f>IF(N99="","",N99*'Como usar'!$C$6)</f>
        <v/>
      </c>
      <c r="P99" s="10" t="n"/>
      <c r="Q99" s="11" t="n"/>
      <c r="R99" s="11" t="n"/>
      <c r="S99" s="11" t="n"/>
      <c r="T99" s="7" t="n"/>
      <c r="U99" s="7" t="n"/>
    </row>
    <row r="100">
      <c r="A100" s="2" t="n">
        <v>99</v>
      </c>
      <c r="B100" s="3" t="inlineStr">
        <is>
          <t>404 Hamburgueria Olinda</t>
        </is>
      </c>
      <c r="C100" s="3" t="inlineStr">
        <is>
          <t>Olinda</t>
        </is>
      </c>
      <c r="D100" s="2" t="inlineStr">
        <is>
          <t>PE</t>
        </is>
      </c>
      <c r="E100" s="3" t="inlineStr">
        <is>
          <t>Vila Popular</t>
        </is>
      </c>
      <c r="F100" s="4" t="inlineStr">
        <is>
          <t>abrir</t>
        </is>
      </c>
      <c r="G100" s="2" t="inlineStr"/>
      <c r="H100" s="5" t="n"/>
      <c r="I100" s="6" t="n"/>
      <c r="J100" s="2">
        <f>IF(I100="","",IF(I100&gt;=300,"Alta",IF(I100&gt;=100,"Média","Baixa")))</f>
        <v/>
      </c>
      <c r="K100" s="7" t="n"/>
      <c r="L100" s="7" t="n"/>
      <c r="M100" s="7" t="n"/>
      <c r="N100" s="8" t="n"/>
      <c r="O100" s="9">
        <f>IF(N100="","",N100*'Como usar'!$C$6)</f>
        <v/>
      </c>
      <c r="P100" s="10" t="n"/>
      <c r="Q100" s="11" t="n"/>
      <c r="R100" s="11" t="n"/>
      <c r="S100" s="11" t="n"/>
      <c r="T100" s="7" t="n"/>
      <c r="U100" s="7" t="n"/>
    </row>
    <row r="101">
      <c r="A101" s="2" t="n">
        <v>100</v>
      </c>
      <c r="B101" s="3" t="inlineStr">
        <is>
          <t>Bora Burger - Hamburgeria Artesanal</t>
        </is>
      </c>
      <c r="C101" s="3" t="inlineStr">
        <is>
          <t>Recife</t>
        </is>
      </c>
      <c r="D101" s="2" t="inlineStr">
        <is>
          <t>PE</t>
        </is>
      </c>
      <c r="E101" s="3" t="inlineStr">
        <is>
          <t>Várzea</t>
        </is>
      </c>
      <c r="F101" s="4" t="inlineStr">
        <is>
          <t>abrir</t>
        </is>
      </c>
      <c r="G101" s="2" t="inlineStr"/>
      <c r="H101" s="5" t="n"/>
      <c r="I101" s="6" t="n"/>
      <c r="J101" s="2">
        <f>IF(I101="","",IF(I101&gt;=300,"Alta",IF(I101&gt;=100,"Média","Baixa")))</f>
        <v/>
      </c>
      <c r="K101" s="7" t="n"/>
      <c r="L101" s="7" t="n"/>
      <c r="M101" s="7" t="n"/>
      <c r="N101" s="8" t="n"/>
      <c r="O101" s="9">
        <f>IF(N101="","",N101*'Como usar'!$C$6)</f>
        <v/>
      </c>
      <c r="P101" s="10" t="n"/>
      <c r="Q101" s="11" t="n"/>
      <c r="R101" s="11" t="n"/>
      <c r="S101" s="11" t="n"/>
      <c r="T101" s="7" t="n"/>
      <c r="U101" s="7" t="n"/>
    </row>
    <row r="102">
      <c r="A102" s="2" t="n">
        <v>101</v>
      </c>
      <c r="B102" s="3" t="inlineStr">
        <is>
          <t>Burguer Mania - Hamburgueria</t>
        </is>
      </c>
      <c r="C102" s="3" t="inlineStr">
        <is>
          <t>Recife</t>
        </is>
      </c>
      <c r="D102" s="2" t="inlineStr">
        <is>
          <t>PE</t>
        </is>
      </c>
      <c r="E102" s="3" t="inlineStr">
        <is>
          <t>Iputinga</t>
        </is>
      </c>
      <c r="F102" s="4" t="inlineStr">
        <is>
          <t>abrir</t>
        </is>
      </c>
      <c r="G102" s="2" t="inlineStr"/>
      <c r="H102" s="5" t="n"/>
      <c r="I102" s="6" t="n"/>
      <c r="J102" s="2">
        <f>IF(I102="","",IF(I102&gt;=300,"Alta",IF(I102&gt;=100,"Média","Baixa")))</f>
        <v/>
      </c>
      <c r="K102" s="7" t="n"/>
      <c r="L102" s="7" t="n"/>
      <c r="M102" s="7" t="n"/>
      <c r="N102" s="8" t="n"/>
      <c r="O102" s="9">
        <f>IF(N102="","",N102*'Como usar'!$C$6)</f>
        <v/>
      </c>
      <c r="P102" s="10" t="n"/>
      <c r="Q102" s="11" t="n"/>
      <c r="R102" s="11" t="n"/>
      <c r="S102" s="11" t="n"/>
      <c r="T102" s="7" t="n"/>
      <c r="U102" s="7" t="n"/>
    </row>
    <row r="103">
      <c r="A103" s="2" t="n">
        <v>102</v>
      </c>
      <c r="B103" s="3" t="inlineStr">
        <is>
          <t>Hamburgueria Conceito Burger</t>
        </is>
      </c>
      <c r="C103" s="3" t="inlineStr">
        <is>
          <t>Recife</t>
        </is>
      </c>
      <c r="D103" s="2" t="inlineStr">
        <is>
          <t>PE</t>
        </is>
      </c>
      <c r="E103" s="3" t="inlineStr">
        <is>
          <t>Ipsep</t>
        </is>
      </c>
      <c r="F103" s="4" t="inlineStr">
        <is>
          <t>abrir</t>
        </is>
      </c>
      <c r="G103" s="2" t="inlineStr"/>
      <c r="H103" s="5" t="n"/>
      <c r="I103" s="6" t="n"/>
      <c r="J103" s="2">
        <f>IF(I103="","",IF(I103&gt;=300,"Alta",IF(I103&gt;=100,"Média","Baixa")))</f>
        <v/>
      </c>
      <c r="K103" s="7" t="n"/>
      <c r="L103" s="7" t="n"/>
      <c r="M103" s="7" t="n"/>
      <c r="N103" s="8" t="n"/>
      <c r="O103" s="9">
        <f>IF(N103="","",N103*'Como usar'!$C$6)</f>
        <v/>
      </c>
      <c r="P103" s="10" t="n"/>
      <c r="Q103" s="11" t="n"/>
      <c r="R103" s="11" t="n"/>
      <c r="S103" s="11" t="n"/>
      <c r="T103" s="7" t="n"/>
      <c r="U103" s="7" t="n"/>
    </row>
    <row r="104">
      <c r="A104" s="2" t="n">
        <v>103</v>
      </c>
      <c r="B104" s="3" t="inlineStr">
        <is>
          <t>Hamburgueria Maria Bonita</t>
        </is>
      </c>
      <c r="C104" s="3" t="inlineStr">
        <is>
          <t>Recife</t>
        </is>
      </c>
      <c r="D104" s="2" t="inlineStr">
        <is>
          <t>PE</t>
        </is>
      </c>
      <c r="E104" s="3" t="inlineStr">
        <is>
          <t>Nova Descoberta</t>
        </is>
      </c>
      <c r="F104" s="4" t="inlineStr">
        <is>
          <t>abrir</t>
        </is>
      </c>
      <c r="G104" s="2" t="inlineStr"/>
      <c r="H104" s="5" t="n"/>
      <c r="I104" s="6" t="n"/>
      <c r="J104" s="2">
        <f>IF(I104="","",IF(I104&gt;=300,"Alta",IF(I104&gt;=100,"Média","Baixa")))</f>
        <v/>
      </c>
      <c r="K104" s="7" t="n"/>
      <c r="L104" s="7" t="n"/>
      <c r="M104" s="7" t="n"/>
      <c r="N104" s="8" t="n"/>
      <c r="O104" s="9">
        <f>IF(N104="","",N104*'Como usar'!$C$6)</f>
        <v/>
      </c>
      <c r="P104" s="10" t="n"/>
      <c r="Q104" s="11" t="n"/>
      <c r="R104" s="11" t="n"/>
      <c r="S104" s="11" t="n"/>
      <c r="T104" s="7" t="n"/>
      <c r="U104" s="7" t="n"/>
    </row>
    <row r="105">
      <c r="A105" s="2" t="n">
        <v>104</v>
      </c>
      <c r="B105" s="3" t="inlineStr">
        <is>
          <t>Hype Burger - Hambúrguer Artesanal</t>
        </is>
      </c>
      <c r="C105" s="3" t="inlineStr">
        <is>
          <t>Recife</t>
        </is>
      </c>
      <c r="D105" s="2" t="inlineStr">
        <is>
          <t>PE</t>
        </is>
      </c>
      <c r="E105" s="3" t="inlineStr">
        <is>
          <t>Campina do Barreto</t>
        </is>
      </c>
      <c r="F105" s="4" t="inlineStr">
        <is>
          <t>abrir</t>
        </is>
      </c>
      <c r="G105" s="2" t="inlineStr"/>
      <c r="H105" s="5" t="n"/>
      <c r="I105" s="6" t="n"/>
      <c r="J105" s="2">
        <f>IF(I105="","",IF(I105&gt;=300,"Alta",IF(I105&gt;=100,"Média","Baixa")))</f>
        <v/>
      </c>
      <c r="K105" s="7" t="n"/>
      <c r="L105" s="7" t="n"/>
      <c r="M105" s="7" t="n"/>
      <c r="N105" s="8" t="n"/>
      <c r="O105" s="9">
        <f>IF(N105="","",N105*'Como usar'!$C$6)</f>
        <v/>
      </c>
      <c r="P105" s="10" t="n"/>
      <c r="Q105" s="11" t="n"/>
      <c r="R105" s="11" t="n"/>
      <c r="S105" s="11" t="n"/>
      <c r="T105" s="7" t="n"/>
      <c r="U105" s="7" t="n"/>
    </row>
    <row r="106">
      <c r="A106" s="2" t="n">
        <v>105</v>
      </c>
      <c r="B106" s="3" t="inlineStr">
        <is>
          <t>Mister Ed Smash Burguer</t>
        </is>
      </c>
      <c r="C106" s="3" t="inlineStr">
        <is>
          <t>Recife</t>
        </is>
      </c>
      <c r="D106" s="2" t="inlineStr">
        <is>
          <t>PE</t>
        </is>
      </c>
      <c r="E106" s="3" t="inlineStr">
        <is>
          <t>Iputinga</t>
        </is>
      </c>
      <c r="F106" s="4" t="inlineStr">
        <is>
          <t>abrir</t>
        </is>
      </c>
      <c r="G106" s="2" t="inlineStr"/>
      <c r="H106" s="5" t="n"/>
      <c r="I106" s="6" t="n"/>
      <c r="J106" s="2">
        <f>IF(I106="","",IF(I106&gt;=300,"Alta",IF(I106&gt;=100,"Média","Baixa")))</f>
        <v/>
      </c>
      <c r="K106" s="7" t="n"/>
      <c r="L106" s="7" t="n"/>
      <c r="M106" s="7" t="n"/>
      <c r="N106" s="8" t="n"/>
      <c r="O106" s="9">
        <f>IF(N106="","",N106*'Como usar'!$C$6)</f>
        <v/>
      </c>
      <c r="P106" s="10" t="n"/>
      <c r="Q106" s="11" t="n"/>
      <c r="R106" s="11" t="n"/>
      <c r="S106" s="11" t="n"/>
      <c r="T106" s="7" t="n"/>
      <c r="U106" s="7" t="n"/>
    </row>
    <row r="107">
      <c r="A107" s="2" t="n">
        <v>106</v>
      </c>
      <c r="B107" s="3" t="inlineStr">
        <is>
          <t>Mooo Hamburgueria Gourmet e Saladaria</t>
        </is>
      </c>
      <c r="C107" s="3" t="inlineStr">
        <is>
          <t>Recife</t>
        </is>
      </c>
      <c r="D107" s="2" t="inlineStr">
        <is>
          <t>PE</t>
        </is>
      </c>
      <c r="E107" s="3" t="inlineStr">
        <is>
          <t>Boa Viagem</t>
        </is>
      </c>
      <c r="F107" s="4" t="inlineStr">
        <is>
          <t>abrir</t>
        </is>
      </c>
      <c r="G107" s="2" t="inlineStr"/>
      <c r="H107" s="5" t="n"/>
      <c r="I107" s="6" t="n"/>
      <c r="J107" s="2">
        <f>IF(I107="","",IF(I107&gt;=300,"Alta",IF(I107&gt;=100,"Média","Baixa")))</f>
        <v/>
      </c>
      <c r="K107" s="7" t="n"/>
      <c r="L107" s="7" t="n"/>
      <c r="M107" s="7" t="n"/>
      <c r="N107" s="8" t="n"/>
      <c r="O107" s="9">
        <f>IF(N107="","",N107*'Como usar'!$C$6)</f>
        <v/>
      </c>
      <c r="P107" s="10" t="n"/>
      <c r="Q107" s="11" t="n"/>
      <c r="R107" s="11" t="n"/>
      <c r="S107" s="11" t="n"/>
      <c r="T107" s="7" t="n"/>
      <c r="U107" s="7" t="n"/>
    </row>
    <row r="108">
      <c r="A108" s="2" t="n">
        <v>107</v>
      </c>
      <c r="B108" s="3" t="inlineStr">
        <is>
          <t>Pahoa Burguer - Hambúrguer Artesanal</t>
        </is>
      </c>
      <c r="C108" s="3" t="inlineStr">
        <is>
          <t>Recife</t>
        </is>
      </c>
      <c r="D108" s="2" t="inlineStr">
        <is>
          <t>PE</t>
        </is>
      </c>
      <c r="E108" s="3" t="inlineStr">
        <is>
          <t>Boa Viagem</t>
        </is>
      </c>
      <c r="F108" s="4" t="inlineStr">
        <is>
          <t>abrir</t>
        </is>
      </c>
      <c r="G108" s="2" t="inlineStr"/>
      <c r="H108" s="5" t="n"/>
      <c r="I108" s="6" t="n"/>
      <c r="J108" s="2">
        <f>IF(I108="","",IF(I108&gt;=300,"Alta",IF(I108&gt;=100,"Média","Baixa")))</f>
        <v/>
      </c>
      <c r="K108" s="7" t="n"/>
      <c r="L108" s="7" t="n"/>
      <c r="M108" s="7" t="n"/>
      <c r="N108" s="8" t="n"/>
      <c r="O108" s="9">
        <f>IF(N108="","",N108*'Como usar'!$C$6)</f>
        <v/>
      </c>
      <c r="P108" s="10" t="n"/>
      <c r="Q108" s="11" t="n"/>
      <c r="R108" s="11" t="n"/>
      <c r="S108" s="11" t="n"/>
      <c r="T108" s="7" t="n"/>
      <c r="U108" s="7" t="n"/>
    </row>
    <row r="109">
      <c r="A109" s="2" t="n">
        <v>108</v>
      </c>
      <c r="B109" s="3" t="inlineStr">
        <is>
          <t>45 Burger - Joquei</t>
        </is>
      </c>
      <c r="C109" s="3" t="inlineStr">
        <is>
          <t>Teresina</t>
        </is>
      </c>
      <c r="D109" s="2" t="inlineStr">
        <is>
          <t>PI</t>
        </is>
      </c>
      <c r="E109" s="3" t="inlineStr">
        <is>
          <t>Ininga</t>
        </is>
      </c>
      <c r="F109" s="4" t="inlineStr">
        <is>
          <t>abrir</t>
        </is>
      </c>
      <c r="G109" s="2" t="inlineStr"/>
      <c r="H109" s="5" t="n"/>
      <c r="I109" s="6" t="n"/>
      <c r="J109" s="2">
        <f>IF(I109="","",IF(I109&gt;=300,"Alta",IF(I109&gt;=100,"Média","Baixa")))</f>
        <v/>
      </c>
      <c r="K109" s="7" t="n"/>
      <c r="L109" s="7" t="n"/>
      <c r="M109" s="7" t="n"/>
      <c r="N109" s="8" t="n"/>
      <c r="O109" s="9">
        <f>IF(N109="","",N109*'Como usar'!$C$6)</f>
        <v/>
      </c>
      <c r="P109" s="10" t="n"/>
      <c r="Q109" s="11" t="n"/>
      <c r="R109" s="11" t="n"/>
      <c r="S109" s="11" t="n"/>
      <c r="T109" s="7" t="n"/>
      <c r="U109" s="7" t="n"/>
    </row>
    <row r="110">
      <c r="A110" s="2" t="n">
        <v>109</v>
      </c>
      <c r="B110" s="3" t="inlineStr">
        <is>
          <t>Alecrim Hamburgueria</t>
        </is>
      </c>
      <c r="C110" s="3" t="inlineStr">
        <is>
          <t>Teresina</t>
        </is>
      </c>
      <c r="D110" s="2" t="inlineStr">
        <is>
          <t>PI</t>
        </is>
      </c>
      <c r="E110" s="3" t="inlineStr">
        <is>
          <t>Jóquei</t>
        </is>
      </c>
      <c r="F110" s="4" t="inlineStr">
        <is>
          <t>abrir</t>
        </is>
      </c>
      <c r="G110" s="2" t="inlineStr"/>
      <c r="H110" s="5" t="n"/>
      <c r="I110" s="6" t="n"/>
      <c r="J110" s="2">
        <f>IF(I110="","",IF(I110&gt;=300,"Alta",IF(I110&gt;=100,"Média","Baixa")))</f>
        <v/>
      </c>
      <c r="K110" s="7" t="n"/>
      <c r="L110" s="7" t="n"/>
      <c r="M110" s="7" t="n"/>
      <c r="N110" s="8" t="n"/>
      <c r="O110" s="9">
        <f>IF(N110="","",N110*'Como usar'!$C$6)</f>
        <v/>
      </c>
      <c r="P110" s="10" t="n"/>
      <c r="Q110" s="11" t="n"/>
      <c r="R110" s="11" t="n"/>
      <c r="S110" s="11" t="n"/>
      <c r="T110" s="7" t="n"/>
      <c r="U110" s="7" t="n"/>
    </row>
    <row r="111">
      <c r="A111" s="2" t="n">
        <v>110</v>
      </c>
      <c r="B111" s="3" t="inlineStr">
        <is>
          <t>Dom Gourmet Hamburgueria e Pastelaria</t>
        </is>
      </c>
      <c r="C111" s="3" t="inlineStr">
        <is>
          <t>Teresina</t>
        </is>
      </c>
      <c r="D111" s="2" t="inlineStr">
        <is>
          <t>PI</t>
        </is>
      </c>
      <c r="E111" s="3" t="inlineStr">
        <is>
          <t>Dirceu I</t>
        </is>
      </c>
      <c r="F111" s="4" t="inlineStr">
        <is>
          <t>abrir</t>
        </is>
      </c>
      <c r="G111" s="2" t="inlineStr"/>
      <c r="H111" s="5" t="n"/>
      <c r="I111" s="6" t="n"/>
      <c r="J111" s="2">
        <f>IF(I111="","",IF(I111&gt;=300,"Alta",IF(I111&gt;=100,"Média","Baixa")))</f>
        <v/>
      </c>
      <c r="K111" s="7" t="n"/>
      <c r="L111" s="7" t="n"/>
      <c r="M111" s="7" t="n"/>
      <c r="N111" s="8" t="n"/>
      <c r="O111" s="9">
        <f>IF(N111="","",N111*'Como usar'!$C$6)</f>
        <v/>
      </c>
      <c r="P111" s="10" t="n"/>
      <c r="Q111" s="11" t="n"/>
      <c r="R111" s="11" t="n"/>
      <c r="S111" s="11" t="n"/>
      <c r="T111" s="7" t="n"/>
      <c r="U111" s="7" t="n"/>
    </row>
    <row r="112">
      <c r="A112" s="2" t="n">
        <v>111</v>
      </c>
      <c r="B112" s="3" t="inlineStr">
        <is>
          <t>Bun Burgers - Ultra Smash Burger</t>
        </is>
      </c>
      <c r="C112" s="3" t="inlineStr">
        <is>
          <t>Curitiba</t>
        </is>
      </c>
      <c r="D112" s="2" t="inlineStr">
        <is>
          <t>PR</t>
        </is>
      </c>
      <c r="E112" s="3" t="inlineStr">
        <is>
          <t>Juveve</t>
        </is>
      </c>
      <c r="F112" s="4" t="inlineStr">
        <is>
          <t>abrir</t>
        </is>
      </c>
      <c r="G112" s="2" t="inlineStr"/>
      <c r="H112" s="5" t="n"/>
      <c r="I112" s="6" t="n"/>
      <c r="J112" s="2">
        <f>IF(I112="","",IF(I112&gt;=300,"Alta",IF(I112&gt;=100,"Média","Baixa")))</f>
        <v/>
      </c>
      <c r="K112" s="7" t="n"/>
      <c r="L112" s="7" t="n"/>
      <c r="M112" s="7" t="n"/>
      <c r="N112" s="8" t="n"/>
      <c r="O112" s="9">
        <f>IF(N112="","",N112*'Como usar'!$C$6)</f>
        <v/>
      </c>
      <c r="P112" s="10" t="n"/>
      <c r="Q112" s="11" t="n"/>
      <c r="R112" s="11" t="n"/>
      <c r="S112" s="11" t="n"/>
      <c r="T112" s="7" t="n"/>
      <c r="U112" s="7" t="n"/>
    </row>
    <row r="113">
      <c r="A113" s="2" t="n">
        <v>112</v>
      </c>
      <c r="B113" s="3" t="inlineStr">
        <is>
          <t>Comendador Burguer - Hamburgueria Cabral</t>
        </is>
      </c>
      <c r="C113" s="3" t="inlineStr">
        <is>
          <t>Curitiba</t>
        </is>
      </c>
      <c r="D113" s="2" t="inlineStr">
        <is>
          <t>PR</t>
        </is>
      </c>
      <c r="E113" s="3" t="inlineStr">
        <is>
          <t>Juvevê</t>
        </is>
      </c>
      <c r="F113" s="4" t="inlineStr">
        <is>
          <t>abrir</t>
        </is>
      </c>
      <c r="G113" s="2" t="inlineStr"/>
      <c r="H113" s="5" t="n"/>
      <c r="I113" s="6" t="n"/>
      <c r="J113" s="2">
        <f>IF(I113="","",IF(I113&gt;=300,"Alta",IF(I113&gt;=100,"Média","Baixa")))</f>
        <v/>
      </c>
      <c r="K113" s="7" t="n"/>
      <c r="L113" s="7" t="n"/>
      <c r="M113" s="7" t="n"/>
      <c r="N113" s="8" t="n"/>
      <c r="O113" s="9">
        <f>IF(N113="","",N113*'Como usar'!$C$6)</f>
        <v/>
      </c>
      <c r="P113" s="10" t="n"/>
      <c r="Q113" s="11" t="n"/>
      <c r="R113" s="11" t="n"/>
      <c r="S113" s="11" t="n"/>
      <c r="T113" s="7" t="n"/>
      <c r="U113" s="7" t="n"/>
    </row>
    <row r="114">
      <c r="A114" s="2" t="n">
        <v>113</v>
      </c>
      <c r="B114" s="3" t="inlineStr">
        <is>
          <t>Cwb Burguer - Hamburgueria Smash</t>
        </is>
      </c>
      <c r="C114" s="3" t="inlineStr">
        <is>
          <t>Curitiba</t>
        </is>
      </c>
      <c r="D114" s="2" t="inlineStr">
        <is>
          <t>PR</t>
        </is>
      </c>
      <c r="E114" s="3" t="inlineStr">
        <is>
          <t>Campo de Santana</t>
        </is>
      </c>
      <c r="F114" s="4" t="inlineStr">
        <is>
          <t>abrir</t>
        </is>
      </c>
      <c r="G114" s="2" t="inlineStr"/>
      <c r="H114" s="5" t="n"/>
      <c r="I114" s="6" t="n"/>
      <c r="J114" s="2">
        <f>IF(I114="","",IF(I114&gt;=300,"Alta",IF(I114&gt;=100,"Média","Baixa")))</f>
        <v/>
      </c>
      <c r="K114" s="7" t="n"/>
      <c r="L114" s="7" t="n"/>
      <c r="M114" s="7" t="n"/>
      <c r="N114" s="8" t="n"/>
      <c r="O114" s="9">
        <f>IF(N114="","",N114*'Como usar'!$C$6)</f>
        <v/>
      </c>
      <c r="P114" s="10" t="n"/>
      <c r="Q114" s="11" t="n"/>
      <c r="R114" s="11" t="n"/>
      <c r="S114" s="11" t="n"/>
      <c r="T114" s="7" t="n"/>
      <c r="U114" s="7" t="n"/>
    </row>
    <row r="115">
      <c r="A115" s="2" t="n">
        <v>114</v>
      </c>
      <c r="B115" s="3" t="inlineStr">
        <is>
          <t>Dois Palito Smash Burger - São Lourenço</t>
        </is>
      </c>
      <c r="C115" s="3" t="inlineStr">
        <is>
          <t>Curitiba</t>
        </is>
      </c>
      <c r="D115" s="2" t="inlineStr">
        <is>
          <t>PR</t>
        </is>
      </c>
      <c r="E115" s="3" t="inlineStr">
        <is>
          <t>São Lourenço</t>
        </is>
      </c>
      <c r="F115" s="4" t="inlineStr">
        <is>
          <t>abrir</t>
        </is>
      </c>
      <c r="G115" s="2" t="inlineStr"/>
      <c r="H115" s="5" t="n"/>
      <c r="I115" s="6" t="n"/>
      <c r="J115" s="2">
        <f>IF(I115="","",IF(I115&gt;=300,"Alta",IF(I115&gt;=100,"Média","Baixa")))</f>
        <v/>
      </c>
      <c r="K115" s="7" t="n"/>
      <c r="L115" s="7" t="n"/>
      <c r="M115" s="7" t="n"/>
      <c r="N115" s="8" t="n"/>
      <c r="O115" s="9">
        <f>IF(N115="","",N115*'Como usar'!$C$6)</f>
        <v/>
      </c>
      <c r="P115" s="10" t="n"/>
      <c r="Q115" s="11" t="n"/>
      <c r="R115" s="11" t="n"/>
      <c r="S115" s="11" t="n"/>
      <c r="T115" s="7" t="n"/>
      <c r="U115" s="7" t="n"/>
    </row>
    <row r="116">
      <c r="A116" s="2" t="n">
        <v>115</v>
      </c>
      <c r="B116" s="3" t="inlineStr">
        <is>
          <t>Hamburgueria Crazy Burger</t>
        </is>
      </c>
      <c r="C116" s="3" t="inlineStr">
        <is>
          <t>Curitiba</t>
        </is>
      </c>
      <c r="D116" s="2" t="inlineStr">
        <is>
          <t>PR</t>
        </is>
      </c>
      <c r="E116" s="3" t="inlineStr">
        <is>
          <t>Uberaba</t>
        </is>
      </c>
      <c r="F116" s="4" t="inlineStr">
        <is>
          <t>abrir</t>
        </is>
      </c>
      <c r="G116" s="2" t="inlineStr"/>
      <c r="H116" s="5" t="n"/>
      <c r="I116" s="6" t="n"/>
      <c r="J116" s="2">
        <f>IF(I116="","",IF(I116&gt;=300,"Alta",IF(I116&gt;=100,"Média","Baixa")))</f>
        <v/>
      </c>
      <c r="K116" s="7" t="n"/>
      <c r="L116" s="7" t="n"/>
      <c r="M116" s="7" t="n"/>
      <c r="N116" s="8" t="n"/>
      <c r="O116" s="9">
        <f>IF(N116="","",N116*'Como usar'!$C$6)</f>
        <v/>
      </c>
      <c r="P116" s="10" t="n"/>
      <c r="Q116" s="11" t="n"/>
      <c r="R116" s="11" t="n"/>
      <c r="S116" s="11" t="n"/>
      <c r="T116" s="7" t="n"/>
      <c r="U116" s="7" t="n"/>
    </row>
    <row r="117">
      <c r="A117" s="2" t="n">
        <v>116</v>
      </c>
      <c r="B117" s="3" t="inlineStr">
        <is>
          <t>Lets Smash Burger no Precinho - Agua Verde</t>
        </is>
      </c>
      <c r="C117" s="3" t="inlineStr">
        <is>
          <t>Curitiba</t>
        </is>
      </c>
      <c r="D117" s="2" t="inlineStr">
        <is>
          <t>PR</t>
        </is>
      </c>
      <c r="E117" s="3" t="inlineStr">
        <is>
          <t>Água Verde</t>
        </is>
      </c>
      <c r="F117" s="4" t="inlineStr">
        <is>
          <t>abrir</t>
        </is>
      </c>
      <c r="G117" s="2" t="inlineStr"/>
      <c r="H117" s="5" t="n"/>
      <c r="I117" s="6" t="n"/>
      <c r="J117" s="2">
        <f>IF(I117="","",IF(I117&gt;=300,"Alta",IF(I117&gt;=100,"Média","Baixa")))</f>
        <v/>
      </c>
      <c r="K117" s="7" t="n"/>
      <c r="L117" s="7" t="n"/>
      <c r="M117" s="7" t="n"/>
      <c r="N117" s="8" t="n"/>
      <c r="O117" s="9">
        <f>IF(N117="","",N117*'Como usar'!$C$6)</f>
        <v/>
      </c>
      <c r="P117" s="10" t="n"/>
      <c r="Q117" s="11" t="n"/>
      <c r="R117" s="11" t="n"/>
      <c r="S117" s="11" t="n"/>
      <c r="T117" s="7" t="n"/>
      <c r="U117" s="7" t="n"/>
    </row>
    <row r="118">
      <c r="A118" s="2" t="n">
        <v>117</v>
      </c>
      <c r="B118" s="3" t="inlineStr">
        <is>
          <t>Maria Fumaça Burger Smash e Defumado</t>
        </is>
      </c>
      <c r="C118" s="3" t="inlineStr">
        <is>
          <t>Curitiba</t>
        </is>
      </c>
      <c r="D118" s="2" t="inlineStr">
        <is>
          <t>PR</t>
        </is>
      </c>
      <c r="E118" s="3" t="inlineStr">
        <is>
          <t>Rebouças</t>
        </is>
      </c>
      <c r="F118" s="4" t="inlineStr">
        <is>
          <t>abrir</t>
        </is>
      </c>
      <c r="G118" s="2" t="inlineStr"/>
      <c r="H118" s="5" t="n"/>
      <c r="I118" s="6" t="n"/>
      <c r="J118" s="2">
        <f>IF(I118="","",IF(I118&gt;=300,"Alta",IF(I118&gt;=100,"Média","Baixa")))</f>
        <v/>
      </c>
      <c r="K118" s="7" t="n"/>
      <c r="L118" s="7" t="n"/>
      <c r="M118" s="7" t="n"/>
      <c r="N118" s="8" t="n"/>
      <c r="O118" s="9">
        <f>IF(N118="","",N118*'Como usar'!$C$6)</f>
        <v/>
      </c>
      <c r="P118" s="10" t="n"/>
      <c r="Q118" s="11" t="n"/>
      <c r="R118" s="11" t="n"/>
      <c r="S118" s="11" t="n"/>
      <c r="T118" s="7" t="n"/>
      <c r="U118" s="7" t="n"/>
    </row>
    <row r="119">
      <c r="A119" s="2" t="n">
        <v>118</v>
      </c>
      <c r="B119" s="3" t="inlineStr">
        <is>
          <t>Pilgrim Burgers</t>
        </is>
      </c>
      <c r="C119" s="3" t="inlineStr">
        <is>
          <t>Curitiba</t>
        </is>
      </c>
      <c r="D119" s="2" t="inlineStr">
        <is>
          <t>PR</t>
        </is>
      </c>
      <c r="E119" s="3" t="inlineStr">
        <is>
          <t>Batel</t>
        </is>
      </c>
      <c r="F119" s="4" t="inlineStr">
        <is>
          <t>abrir</t>
        </is>
      </c>
      <c r="G119" s="2" t="inlineStr"/>
      <c r="H119" s="5" t="n"/>
      <c r="I119" s="6" t="n"/>
      <c r="J119" s="2">
        <f>IF(I119="","",IF(I119&gt;=300,"Alta",IF(I119&gt;=100,"Média","Baixa")))</f>
        <v/>
      </c>
      <c r="K119" s="7" t="n"/>
      <c r="L119" s="7" t="n"/>
      <c r="M119" s="7" t="n"/>
      <c r="N119" s="8" t="n"/>
      <c r="O119" s="9">
        <f>IF(N119="","",N119*'Como usar'!$C$6)</f>
        <v/>
      </c>
      <c r="P119" s="10" t="n"/>
      <c r="Q119" s="11" t="n"/>
      <c r="R119" s="11" t="n"/>
      <c r="S119" s="11" t="n"/>
      <c r="T119" s="7" t="n"/>
      <c r="U119" s="7" t="n"/>
    </row>
    <row r="120">
      <c r="A120" s="2" t="n">
        <v>119</v>
      </c>
      <c r="B120" s="3" t="inlineStr">
        <is>
          <t>Supremo Burger Cwb - Hamburgueria</t>
        </is>
      </c>
      <c r="C120" s="3" t="inlineStr">
        <is>
          <t>Curitiba</t>
        </is>
      </c>
      <c r="D120" s="2" t="inlineStr">
        <is>
          <t>PR</t>
        </is>
      </c>
      <c r="E120" s="3" t="inlineStr">
        <is>
          <t>Água Verde</t>
        </is>
      </c>
      <c r="F120" s="4" t="inlineStr">
        <is>
          <t>abrir</t>
        </is>
      </c>
      <c r="G120" s="2" t="inlineStr"/>
      <c r="H120" s="5" t="n"/>
      <c r="I120" s="6" t="n"/>
      <c r="J120" s="2">
        <f>IF(I120="","",IF(I120&gt;=300,"Alta",IF(I120&gt;=100,"Média","Baixa")))</f>
        <v/>
      </c>
      <c r="K120" s="7" t="n"/>
      <c r="L120" s="7" t="n"/>
      <c r="M120" s="7" t="n"/>
      <c r="N120" s="8" t="n"/>
      <c r="O120" s="9">
        <f>IF(N120="","",N120*'Como usar'!$C$6)</f>
        <v/>
      </c>
      <c r="P120" s="10" t="n"/>
      <c r="Q120" s="11" t="n"/>
      <c r="R120" s="11" t="n"/>
      <c r="S120" s="11" t="n"/>
      <c r="T120" s="7" t="n"/>
      <c r="U120" s="7" t="n"/>
    </row>
    <row r="121">
      <c r="A121" s="2" t="n">
        <v>120</v>
      </c>
      <c r="B121" s="3" t="inlineStr">
        <is>
          <t>77 Hamburgueria</t>
        </is>
      </c>
      <c r="C121" s="3" t="inlineStr">
        <is>
          <t>Londrina</t>
        </is>
      </c>
      <c r="D121" s="2" t="inlineStr">
        <is>
          <t>PR</t>
        </is>
      </c>
      <c r="E121" s="3" t="inlineStr">
        <is>
          <t>Gleba Fazenda Palhano</t>
        </is>
      </c>
      <c r="F121" s="4" t="inlineStr">
        <is>
          <t>abrir</t>
        </is>
      </c>
      <c r="G121" s="2" t="inlineStr"/>
      <c r="H121" s="5" t="n"/>
      <c r="I121" s="6" t="n"/>
      <c r="J121" s="2">
        <f>IF(I121="","",IF(I121&gt;=300,"Alta",IF(I121&gt;=100,"Média","Baixa")))</f>
        <v/>
      </c>
      <c r="K121" s="7" t="n"/>
      <c r="L121" s="7" t="n"/>
      <c r="M121" s="7" t="n"/>
      <c r="N121" s="8" t="n"/>
      <c r="O121" s="9">
        <f>IF(N121="","",N121*'Como usar'!$C$6)</f>
        <v/>
      </c>
      <c r="P121" s="10" t="n"/>
      <c r="Q121" s="11" t="n"/>
      <c r="R121" s="11" t="n"/>
      <c r="S121" s="11" t="n"/>
      <c r="T121" s="7" t="n"/>
      <c r="U121" s="7" t="n"/>
    </row>
    <row r="122">
      <c r="A122" s="2" t="n">
        <v>121</v>
      </c>
      <c r="B122" s="3" t="inlineStr">
        <is>
          <t>General Hamburgueria</t>
        </is>
      </c>
      <c r="C122" s="3" t="inlineStr">
        <is>
          <t>Londrina</t>
        </is>
      </c>
      <c r="D122" s="2" t="inlineStr">
        <is>
          <t>PR</t>
        </is>
      </c>
      <c r="E122" s="3" t="inlineStr">
        <is>
          <t>Conjunto VIVI Xavier</t>
        </is>
      </c>
      <c r="F122" s="4" t="inlineStr">
        <is>
          <t>abrir</t>
        </is>
      </c>
      <c r="G122" s="2" t="inlineStr"/>
      <c r="H122" s="5" t="n"/>
      <c r="I122" s="6" t="n"/>
      <c r="J122" s="2">
        <f>IF(I122="","",IF(I122&gt;=300,"Alta",IF(I122&gt;=100,"Média","Baixa")))</f>
        <v/>
      </c>
      <c r="K122" s="7" t="n"/>
      <c r="L122" s="7" t="n"/>
      <c r="M122" s="7" t="n"/>
      <c r="N122" s="8" t="n"/>
      <c r="O122" s="9">
        <f>IF(N122="","",N122*'Como usar'!$C$6)</f>
        <v/>
      </c>
      <c r="P122" s="10" t="n"/>
      <c r="Q122" s="11" t="n"/>
      <c r="R122" s="11" t="n"/>
      <c r="S122" s="11" t="n"/>
      <c r="T122" s="7" t="n"/>
      <c r="U122" s="7" t="n"/>
    </row>
    <row r="123">
      <c r="A123" s="2" t="n">
        <v>122</v>
      </c>
      <c r="B123" s="3" t="inlineStr">
        <is>
          <t>Hamburgueria Elite Burger</t>
        </is>
      </c>
      <c r="C123" s="3" t="inlineStr">
        <is>
          <t>Londrina</t>
        </is>
      </c>
      <c r="D123" s="2" t="inlineStr">
        <is>
          <t>PR</t>
        </is>
      </c>
      <c r="E123" s="3" t="inlineStr">
        <is>
          <t>Centro</t>
        </is>
      </c>
      <c r="F123" s="4" t="inlineStr">
        <is>
          <t>abrir</t>
        </is>
      </c>
      <c r="G123" s="2" t="inlineStr"/>
      <c r="H123" s="5" t="n"/>
      <c r="I123" s="6" t="n"/>
      <c r="J123" s="2">
        <f>IF(I123="","",IF(I123&gt;=300,"Alta",IF(I123&gt;=100,"Média","Baixa")))</f>
        <v/>
      </c>
      <c r="K123" s="7" t="n"/>
      <c r="L123" s="7" t="n"/>
      <c r="M123" s="7" t="n"/>
      <c r="N123" s="8" t="n"/>
      <c r="O123" s="9">
        <f>IF(N123="","",N123*'Como usar'!$C$6)</f>
        <v/>
      </c>
      <c r="P123" s="10" t="n"/>
      <c r="Q123" s="11" t="n"/>
      <c r="R123" s="11" t="n"/>
      <c r="S123" s="11" t="n"/>
      <c r="T123" s="7" t="n"/>
      <c r="U123" s="7" t="n"/>
    </row>
    <row r="124">
      <c r="A124" s="2" t="n">
        <v>123</v>
      </c>
      <c r="B124" s="3" t="inlineStr">
        <is>
          <t>O Burguês - Burger Londrina</t>
        </is>
      </c>
      <c r="C124" s="3" t="inlineStr">
        <is>
          <t>Londrina</t>
        </is>
      </c>
      <c r="D124" s="2" t="inlineStr">
        <is>
          <t>PR</t>
        </is>
      </c>
      <c r="E124" s="3" t="inlineStr">
        <is>
          <t>Gleba Fazenda Palhano</t>
        </is>
      </c>
      <c r="F124" s="4" t="inlineStr">
        <is>
          <t>abrir</t>
        </is>
      </c>
      <c r="G124" s="2" t="inlineStr"/>
      <c r="H124" s="5" t="n"/>
      <c r="I124" s="6" t="n"/>
      <c r="J124" s="2">
        <f>IF(I124="","",IF(I124&gt;=300,"Alta",IF(I124&gt;=100,"Média","Baixa")))</f>
        <v/>
      </c>
      <c r="K124" s="7" t="n"/>
      <c r="L124" s="7" t="n"/>
      <c r="M124" s="7" t="n"/>
      <c r="N124" s="8" t="n"/>
      <c r="O124" s="9">
        <f>IF(N124="","",N124*'Como usar'!$C$6)</f>
        <v/>
      </c>
      <c r="P124" s="10" t="n"/>
      <c r="Q124" s="11" t="n"/>
      <c r="R124" s="11" t="n"/>
      <c r="S124" s="11" t="n"/>
      <c r="T124" s="7" t="n"/>
      <c r="U124" s="7" t="n"/>
    </row>
    <row r="125">
      <c r="A125" s="2" t="n">
        <v>124</v>
      </c>
      <c r="B125" s="3" t="inlineStr">
        <is>
          <t>Santo Burger - Hambúrguer &amp; Lanches</t>
        </is>
      </c>
      <c r="C125" s="3" t="inlineStr">
        <is>
          <t>Londrina</t>
        </is>
      </c>
      <c r="D125" s="2" t="inlineStr">
        <is>
          <t>PR</t>
        </is>
      </c>
      <c r="E125" s="3" t="inlineStr">
        <is>
          <t>Boa Vista</t>
        </is>
      </c>
      <c r="F125" s="4" t="inlineStr">
        <is>
          <t>abrir</t>
        </is>
      </c>
      <c r="G125" s="2" t="inlineStr"/>
      <c r="H125" s="5" t="n"/>
      <c r="I125" s="6" t="n"/>
      <c r="J125" s="2">
        <f>IF(I125="","",IF(I125&gt;=300,"Alta",IF(I125&gt;=100,"Média","Baixa")))</f>
        <v/>
      </c>
      <c r="K125" s="7" t="n"/>
      <c r="L125" s="7" t="n"/>
      <c r="M125" s="7" t="n"/>
      <c r="N125" s="8" t="n"/>
      <c r="O125" s="9">
        <f>IF(N125="","",N125*'Como usar'!$C$6)</f>
        <v/>
      </c>
      <c r="P125" s="10" t="n"/>
      <c r="Q125" s="11" t="n"/>
      <c r="R125" s="11" t="n"/>
      <c r="S125" s="11" t="n"/>
      <c r="T125" s="7" t="n"/>
      <c r="U125" s="7" t="n"/>
    </row>
    <row r="126">
      <c r="A126" s="2" t="n">
        <v>125</v>
      </c>
      <c r="B126" s="3" t="inlineStr">
        <is>
          <t>The Burgers</t>
        </is>
      </c>
      <c r="C126" s="3" t="inlineStr">
        <is>
          <t>Londrina</t>
        </is>
      </c>
      <c r="D126" s="2" t="inlineStr">
        <is>
          <t>PR</t>
        </is>
      </c>
      <c r="E126" s="3" t="inlineStr">
        <is>
          <t>Centro</t>
        </is>
      </c>
      <c r="F126" s="4" t="inlineStr">
        <is>
          <t>abrir</t>
        </is>
      </c>
      <c r="G126" s="2" t="inlineStr"/>
      <c r="H126" s="5" t="n"/>
      <c r="I126" s="6" t="n"/>
      <c r="J126" s="2">
        <f>IF(I126="","",IF(I126&gt;=300,"Alta",IF(I126&gt;=100,"Média","Baixa")))</f>
        <v/>
      </c>
      <c r="K126" s="7" t="n"/>
      <c r="L126" s="7" t="n"/>
      <c r="M126" s="7" t="n"/>
      <c r="N126" s="8" t="n"/>
      <c r="O126" s="9">
        <f>IF(N126="","",N126*'Como usar'!$C$6)</f>
        <v/>
      </c>
      <c r="P126" s="10" t="n"/>
      <c r="Q126" s="11" t="n"/>
      <c r="R126" s="11" t="n"/>
      <c r="S126" s="11" t="n"/>
      <c r="T126" s="7" t="n"/>
      <c r="U126" s="7" t="n"/>
    </row>
    <row r="127">
      <c r="A127" s="2" t="n">
        <v>126</v>
      </c>
      <c r="B127" s="3" t="inlineStr">
        <is>
          <t>Top Burger</t>
        </is>
      </c>
      <c r="C127" s="3" t="inlineStr">
        <is>
          <t>Londrina</t>
        </is>
      </c>
      <c r="D127" s="2" t="inlineStr">
        <is>
          <t>PR</t>
        </is>
      </c>
      <c r="E127" s="3" t="inlineStr">
        <is>
          <t>Jardim Higienópolis</t>
        </is>
      </c>
      <c r="F127" s="4" t="inlineStr">
        <is>
          <t>abrir</t>
        </is>
      </c>
      <c r="G127" s="2" t="inlineStr"/>
      <c r="H127" s="5" t="n"/>
      <c r="I127" s="6" t="n"/>
      <c r="J127" s="2">
        <f>IF(I127="","",IF(I127&gt;=300,"Alta",IF(I127&gt;=100,"Média","Baixa")))</f>
        <v/>
      </c>
      <c r="K127" s="7" t="n"/>
      <c r="L127" s="7" t="n"/>
      <c r="M127" s="7" t="n"/>
      <c r="N127" s="8" t="n"/>
      <c r="O127" s="9">
        <f>IF(N127="","",N127*'Como usar'!$C$6)</f>
        <v/>
      </c>
      <c r="P127" s="10" t="n"/>
      <c r="Q127" s="11" t="n"/>
      <c r="R127" s="11" t="n"/>
      <c r="S127" s="11" t="n"/>
      <c r="T127" s="7" t="n"/>
      <c r="U127" s="7" t="n"/>
    </row>
    <row r="128">
      <c r="A128" s="2" t="n">
        <v>127</v>
      </c>
      <c r="B128" s="3" t="inlineStr">
        <is>
          <t>Xinela Burger</t>
        </is>
      </c>
      <c r="C128" s="3" t="inlineStr">
        <is>
          <t>Londrina</t>
        </is>
      </c>
      <c r="D128" s="2" t="inlineStr">
        <is>
          <t>PR</t>
        </is>
      </c>
      <c r="E128" s="3" t="inlineStr">
        <is>
          <t>Universitário</t>
        </is>
      </c>
      <c r="F128" s="4" t="inlineStr">
        <is>
          <t>abrir</t>
        </is>
      </c>
      <c r="G128" s="2" t="inlineStr"/>
      <c r="H128" s="5" t="n"/>
      <c r="I128" s="6" t="n"/>
      <c r="J128" s="2">
        <f>IF(I128="","",IF(I128&gt;=300,"Alta",IF(I128&gt;=100,"Média","Baixa")))</f>
        <v/>
      </c>
      <c r="K128" s="7" t="n"/>
      <c r="L128" s="7" t="n"/>
      <c r="M128" s="7" t="n"/>
      <c r="N128" s="8" t="n"/>
      <c r="O128" s="9">
        <f>IF(N128="","",N128*'Como usar'!$C$6)</f>
        <v/>
      </c>
      <c r="P128" s="10" t="n"/>
      <c r="Q128" s="11" t="n"/>
      <c r="R128" s="11" t="n"/>
      <c r="S128" s="11" t="n"/>
      <c r="T128" s="7" t="n"/>
      <c r="U128" s="7" t="n"/>
    </row>
    <row r="129">
      <c r="A129" s="2" t="n">
        <v>128</v>
      </c>
      <c r="B129" s="3" t="inlineStr">
        <is>
          <t>Artesanos Hamburgueria Artesanal</t>
        </is>
      </c>
      <c r="C129" s="3" t="inlineStr">
        <is>
          <t>Rio de Janeiro</t>
        </is>
      </c>
      <c r="D129" s="2" t="inlineStr">
        <is>
          <t>RJ</t>
        </is>
      </c>
      <c r="E129" s="3" t="inlineStr">
        <is>
          <t>Vila Isabel</t>
        </is>
      </c>
      <c r="F129" s="4" t="inlineStr">
        <is>
          <t>abrir</t>
        </is>
      </c>
      <c r="G129" s="2" t="inlineStr"/>
      <c r="H129" s="5" t="n"/>
      <c r="I129" s="6" t="n"/>
      <c r="J129" s="2">
        <f>IF(I129="","",IF(I129&gt;=300,"Alta",IF(I129&gt;=100,"Média","Baixa")))</f>
        <v/>
      </c>
      <c r="K129" s="7" t="n"/>
      <c r="L129" s="7" t="n"/>
      <c r="M129" s="7" t="n"/>
      <c r="N129" s="8" t="n"/>
      <c r="O129" s="9">
        <f>IF(N129="","",N129*'Como usar'!$C$6)</f>
        <v/>
      </c>
      <c r="P129" s="10" t="n"/>
      <c r="Q129" s="11" t="n"/>
      <c r="R129" s="11" t="n"/>
      <c r="S129" s="11" t="n"/>
      <c r="T129" s="7" t="n"/>
      <c r="U129" s="7" t="n"/>
    </row>
    <row r="130">
      <c r="A130" s="2" t="n">
        <v>129</v>
      </c>
      <c r="B130" s="3" t="inlineStr">
        <is>
          <t>Bap's Burguer - Hamburgueria Artesanal</t>
        </is>
      </c>
      <c r="C130" s="3" t="inlineStr">
        <is>
          <t>Rio de Janeiro</t>
        </is>
      </c>
      <c r="D130" s="2" t="inlineStr">
        <is>
          <t>RJ</t>
        </is>
      </c>
      <c r="E130" s="3" t="inlineStr">
        <is>
          <t>Penha</t>
        </is>
      </c>
      <c r="F130" s="4" t="inlineStr">
        <is>
          <t>abrir</t>
        </is>
      </c>
      <c r="G130" s="2" t="inlineStr"/>
      <c r="H130" s="5" t="n"/>
      <c r="I130" s="6" t="n"/>
      <c r="J130" s="2">
        <f>IF(I130="","",IF(I130&gt;=300,"Alta",IF(I130&gt;=100,"Média","Baixa")))</f>
        <v/>
      </c>
      <c r="K130" s="7" t="n"/>
      <c r="L130" s="7" t="n"/>
      <c r="M130" s="7" t="n"/>
      <c r="N130" s="8" t="n"/>
      <c r="O130" s="9">
        <f>IF(N130="","",N130*'Como usar'!$C$6)</f>
        <v/>
      </c>
      <c r="P130" s="10" t="n"/>
      <c r="Q130" s="11" t="n"/>
      <c r="R130" s="11" t="n"/>
      <c r="S130" s="11" t="n"/>
      <c r="T130" s="7" t="n"/>
      <c r="U130" s="7" t="n"/>
    </row>
    <row r="131">
      <c r="A131" s="2" t="n">
        <v>130</v>
      </c>
      <c r="B131" s="3" t="inlineStr">
        <is>
          <t>Burger House - Hamburgueria Artesanal</t>
        </is>
      </c>
      <c r="C131" s="3" t="inlineStr">
        <is>
          <t>Rio de Janeiro</t>
        </is>
      </c>
      <c r="D131" s="2" t="inlineStr">
        <is>
          <t>RJ</t>
        </is>
      </c>
      <c r="E131" s="3" t="inlineStr">
        <is>
          <t>Paciência</t>
        </is>
      </c>
      <c r="F131" s="4" t="inlineStr">
        <is>
          <t>abrir</t>
        </is>
      </c>
      <c r="G131" s="2" t="inlineStr"/>
      <c r="H131" s="5" t="n"/>
      <c r="I131" s="6" t="n"/>
      <c r="J131" s="2">
        <f>IF(I131="","",IF(I131&gt;=300,"Alta",IF(I131&gt;=100,"Média","Baixa")))</f>
        <v/>
      </c>
      <c r="K131" s="7" t="n"/>
      <c r="L131" s="7" t="n"/>
      <c r="M131" s="7" t="n"/>
      <c r="N131" s="8" t="n"/>
      <c r="O131" s="9">
        <f>IF(N131="","",N131*'Como usar'!$C$6)</f>
        <v/>
      </c>
      <c r="P131" s="10" t="n"/>
      <c r="Q131" s="11" t="n"/>
      <c r="R131" s="11" t="n"/>
      <c r="S131" s="11" t="n"/>
      <c r="T131" s="7" t="n"/>
      <c r="U131" s="7" t="n"/>
    </row>
    <row r="132">
      <c r="A132" s="2" t="n">
        <v>131</v>
      </c>
      <c r="B132" s="3" t="inlineStr">
        <is>
          <t>Gamers Burger Hamburgueria Artesanal</t>
        </is>
      </c>
      <c r="C132" s="3" t="inlineStr">
        <is>
          <t>Rio de Janeiro</t>
        </is>
      </c>
      <c r="D132" s="2" t="inlineStr">
        <is>
          <t>RJ</t>
        </is>
      </c>
      <c r="E132" s="3" t="inlineStr">
        <is>
          <t>Curicica</t>
        </is>
      </c>
      <c r="F132" s="4" t="inlineStr">
        <is>
          <t>abrir</t>
        </is>
      </c>
      <c r="G132" s="2" t="inlineStr"/>
      <c r="H132" s="5" t="n"/>
      <c r="I132" s="6" t="n"/>
      <c r="J132" s="2">
        <f>IF(I132="","",IF(I132&gt;=300,"Alta",IF(I132&gt;=100,"Média","Baixa")))</f>
        <v/>
      </c>
      <c r="K132" s="7" t="n"/>
      <c r="L132" s="7" t="n"/>
      <c r="M132" s="7" t="n"/>
      <c r="N132" s="8" t="n"/>
      <c r="O132" s="9">
        <f>IF(N132="","",N132*'Como usar'!$C$6)</f>
        <v/>
      </c>
      <c r="P132" s="10" t="n"/>
      <c r="Q132" s="11" t="n"/>
      <c r="R132" s="11" t="n"/>
      <c r="S132" s="11" t="n"/>
      <c r="T132" s="7" t="n"/>
      <c r="U132" s="7" t="n"/>
    </row>
    <row r="133">
      <c r="A133" s="2" t="n">
        <v>132</v>
      </c>
      <c r="B133" s="3" t="inlineStr">
        <is>
          <t>Gastro House Hamburgueria Artesanal</t>
        </is>
      </c>
      <c r="C133" s="3" t="inlineStr">
        <is>
          <t>Rio de Janeiro</t>
        </is>
      </c>
      <c r="D133" s="2" t="inlineStr">
        <is>
          <t>RJ</t>
        </is>
      </c>
      <c r="E133" s="3" t="inlineStr">
        <is>
          <t>Engenho Novo</t>
        </is>
      </c>
      <c r="F133" s="4" t="inlineStr">
        <is>
          <t>abrir</t>
        </is>
      </c>
      <c r="G133" s="2" t="inlineStr"/>
      <c r="H133" s="5" t="n"/>
      <c r="I133" s="6" t="n"/>
      <c r="J133" s="2">
        <f>IF(I133="","",IF(I133&gt;=300,"Alta",IF(I133&gt;=100,"Média","Baixa")))</f>
        <v/>
      </c>
      <c r="K133" s="7" t="n"/>
      <c r="L133" s="7" t="n"/>
      <c r="M133" s="7" t="n"/>
      <c r="N133" s="8" t="n"/>
      <c r="O133" s="9">
        <f>IF(N133="","",N133*'Como usar'!$C$6)</f>
        <v/>
      </c>
      <c r="P133" s="10" t="n"/>
      <c r="Q133" s="11" t="n"/>
      <c r="R133" s="11" t="n"/>
      <c r="S133" s="11" t="n"/>
      <c r="T133" s="7" t="n"/>
      <c r="U133" s="7" t="n"/>
    </row>
    <row r="134">
      <c r="A134" s="2" t="n">
        <v>133</v>
      </c>
      <c r="B134" s="3" t="inlineStr">
        <is>
          <t>Hamburgueria SA - Burger Artesanal</t>
        </is>
      </c>
      <c r="C134" s="3" t="inlineStr">
        <is>
          <t>Rio de Janeiro</t>
        </is>
      </c>
      <c r="D134" s="2" t="inlineStr">
        <is>
          <t>RJ</t>
        </is>
      </c>
      <c r="E134" s="3" t="inlineStr">
        <is>
          <t>Centro</t>
        </is>
      </c>
      <c r="F134" s="4" t="inlineStr">
        <is>
          <t>abrir</t>
        </is>
      </c>
      <c r="G134" s="2" t="inlineStr"/>
      <c r="H134" s="5" t="n"/>
      <c r="I134" s="6" t="n"/>
      <c r="J134" s="2">
        <f>IF(I134="","",IF(I134&gt;=300,"Alta",IF(I134&gt;=100,"Média","Baixa")))</f>
        <v/>
      </c>
      <c r="K134" s="7" t="n"/>
      <c r="L134" s="7" t="n"/>
      <c r="M134" s="7" t="n"/>
      <c r="N134" s="8" t="n"/>
      <c r="O134" s="9">
        <f>IF(N134="","",N134*'Como usar'!$C$6)</f>
        <v/>
      </c>
      <c r="P134" s="10" t="n"/>
      <c r="Q134" s="11" t="n"/>
      <c r="R134" s="11" t="n"/>
      <c r="S134" s="11" t="n"/>
      <c r="T134" s="7" t="n"/>
      <c r="U134" s="7" t="n"/>
    </row>
    <row r="135">
      <c r="A135" s="2" t="n">
        <v>134</v>
      </c>
      <c r="B135" s="3" t="inlineStr">
        <is>
          <t>Hamburguesia - Hamburguer Artesanal</t>
        </is>
      </c>
      <c r="C135" s="3" t="inlineStr">
        <is>
          <t>Rio de Janeiro</t>
        </is>
      </c>
      <c r="D135" s="2" t="inlineStr">
        <is>
          <t>RJ</t>
        </is>
      </c>
      <c r="E135" s="3" t="inlineStr">
        <is>
          <t>Todos Os Santos</t>
        </is>
      </c>
      <c r="F135" s="4" t="inlineStr">
        <is>
          <t>abrir</t>
        </is>
      </c>
      <c r="G135" s="2" t="inlineStr"/>
      <c r="H135" s="5" t="n"/>
      <c r="I135" s="6" t="n"/>
      <c r="J135" s="2">
        <f>IF(I135="","",IF(I135&gt;=300,"Alta",IF(I135&gt;=100,"Média","Baixa")))</f>
        <v/>
      </c>
      <c r="K135" s="7" t="n"/>
      <c r="L135" s="7" t="n"/>
      <c r="M135" s="7" t="n"/>
      <c r="N135" s="8" t="n"/>
      <c r="O135" s="9">
        <f>IF(N135="","",N135*'Como usar'!$C$6)</f>
        <v/>
      </c>
      <c r="P135" s="10" t="n"/>
      <c r="Q135" s="11" t="n"/>
      <c r="R135" s="11" t="n"/>
      <c r="S135" s="11" t="n"/>
      <c r="T135" s="7" t="n"/>
      <c r="U135" s="7" t="n"/>
    </row>
    <row r="136">
      <c r="A136" s="2" t="n">
        <v>135</v>
      </c>
      <c r="B136" s="3" t="inlineStr">
        <is>
          <t>Real Burguer - Hambúrguer Artesanal</t>
        </is>
      </c>
      <c r="C136" s="3" t="inlineStr">
        <is>
          <t>Rio de Janeiro</t>
        </is>
      </c>
      <c r="D136" s="2" t="inlineStr">
        <is>
          <t>RJ</t>
        </is>
      </c>
      <c r="E136" s="3" t="inlineStr">
        <is>
          <t>Olaria</t>
        </is>
      </c>
      <c r="F136" s="4" t="inlineStr">
        <is>
          <t>abrir</t>
        </is>
      </c>
      <c r="G136" s="2" t="inlineStr"/>
      <c r="H136" s="5" t="n"/>
      <c r="I136" s="6" t="n"/>
      <c r="J136" s="2">
        <f>IF(I136="","",IF(I136&gt;=300,"Alta",IF(I136&gt;=100,"Média","Baixa")))</f>
        <v/>
      </c>
      <c r="K136" s="7" t="n"/>
      <c r="L136" s="7" t="n"/>
      <c r="M136" s="7" t="n"/>
      <c r="N136" s="8" t="n"/>
      <c r="O136" s="9">
        <f>IF(N136="","",N136*'Como usar'!$C$6)</f>
        <v/>
      </c>
      <c r="P136" s="10" t="n"/>
      <c r="Q136" s="11" t="n"/>
      <c r="R136" s="11" t="n"/>
      <c r="S136" s="11" t="n"/>
      <c r="T136" s="7" t="n"/>
      <c r="U136" s="7" t="n"/>
    </row>
    <row r="137">
      <c r="A137" s="2" t="n">
        <v>136</v>
      </c>
      <c r="B137" s="3" t="inlineStr">
        <is>
          <t>Street Hamburgueria Artesanal</t>
        </is>
      </c>
      <c r="C137" s="3" t="inlineStr">
        <is>
          <t>Rio de Janeiro</t>
        </is>
      </c>
      <c r="D137" s="2" t="inlineStr">
        <is>
          <t>RJ</t>
        </is>
      </c>
      <c r="E137" s="3" t="inlineStr">
        <is>
          <t>Inhoaíba</t>
        </is>
      </c>
      <c r="F137" s="4" t="inlineStr">
        <is>
          <t>abrir</t>
        </is>
      </c>
      <c r="G137" s="2" t="inlineStr"/>
      <c r="H137" s="5" t="n"/>
      <c r="I137" s="6" t="n"/>
      <c r="J137" s="2">
        <f>IF(I137="","",IF(I137&gt;=300,"Alta",IF(I137&gt;=100,"Média","Baixa")))</f>
        <v/>
      </c>
      <c r="K137" s="7" t="n"/>
      <c r="L137" s="7" t="n"/>
      <c r="M137" s="7" t="n"/>
      <c r="N137" s="8" t="n"/>
      <c r="O137" s="9">
        <f>IF(N137="","",N137*'Como usar'!$C$6)</f>
        <v/>
      </c>
      <c r="P137" s="10" t="n"/>
      <c r="Q137" s="11" t="n"/>
      <c r="R137" s="11" t="n"/>
      <c r="S137" s="11" t="n"/>
      <c r="T137" s="7" t="n"/>
      <c r="U137" s="7" t="n"/>
    </row>
    <row r="138">
      <c r="A138" s="2" t="n">
        <v>137</v>
      </c>
      <c r="B138" s="3" t="inlineStr">
        <is>
          <t>Tártaros Hamburgueria Artesanal</t>
        </is>
      </c>
      <c r="C138" s="3" t="inlineStr">
        <is>
          <t>Rio de Janeiro</t>
        </is>
      </c>
      <c r="D138" s="2" t="inlineStr">
        <is>
          <t>RJ</t>
        </is>
      </c>
      <c r="E138" s="3" t="inlineStr">
        <is>
          <t>Grajaú</t>
        </is>
      </c>
      <c r="F138" s="4" t="inlineStr">
        <is>
          <t>abrir</t>
        </is>
      </c>
      <c r="G138" s="2" t="inlineStr"/>
      <c r="H138" s="5" t="n"/>
      <c r="I138" s="6" t="n"/>
      <c r="J138" s="2">
        <f>IF(I138="","",IF(I138&gt;=300,"Alta",IF(I138&gt;=100,"Média","Baixa")))</f>
        <v/>
      </c>
      <c r="K138" s="7" t="n"/>
      <c r="L138" s="7" t="n"/>
      <c r="M138" s="7" t="n"/>
      <c r="N138" s="8" t="n"/>
      <c r="O138" s="9">
        <f>IF(N138="","",N138*'Como usar'!$C$6)</f>
        <v/>
      </c>
      <c r="P138" s="10" t="n"/>
      <c r="Q138" s="11" t="n"/>
      <c r="R138" s="11" t="n"/>
      <c r="S138" s="11" t="n"/>
      <c r="T138" s="7" t="n"/>
      <c r="U138" s="7" t="n"/>
    </row>
    <row r="139">
      <c r="A139" s="2" t="n">
        <v>138</v>
      </c>
      <c r="B139" s="3" t="inlineStr">
        <is>
          <t>Galaxy Smash Burger</t>
        </is>
      </c>
      <c r="C139" s="3" t="inlineStr">
        <is>
          <t>Natal</t>
        </is>
      </c>
      <c r="D139" s="2" t="inlineStr">
        <is>
          <t>RN</t>
        </is>
      </c>
      <c r="E139" s="3" t="inlineStr">
        <is>
          <t>Neópolis</t>
        </is>
      </c>
      <c r="F139" s="4" t="inlineStr">
        <is>
          <t>abrir</t>
        </is>
      </c>
      <c r="G139" s="2" t="inlineStr"/>
      <c r="H139" s="5" t="n"/>
      <c r="I139" s="6" t="n"/>
      <c r="J139" s="2">
        <f>IF(I139="","",IF(I139&gt;=300,"Alta",IF(I139&gt;=100,"Média","Baixa")))</f>
        <v/>
      </c>
      <c r="K139" s="7" t="n"/>
      <c r="L139" s="7" t="n"/>
      <c r="M139" s="7" t="n"/>
      <c r="N139" s="8" t="n"/>
      <c r="O139" s="9">
        <f>IF(N139="","",N139*'Como usar'!$C$6)</f>
        <v/>
      </c>
      <c r="P139" s="10" t="n"/>
      <c r="Q139" s="11" t="n"/>
      <c r="R139" s="11" t="n"/>
      <c r="S139" s="11" t="n"/>
      <c r="T139" s="7" t="n"/>
      <c r="U139" s="7" t="n"/>
    </row>
    <row r="140">
      <c r="A140" s="2" t="n">
        <v>139</v>
      </c>
      <c r="B140" s="3" t="inlineStr">
        <is>
          <t>La Brasa Burger Natal</t>
        </is>
      </c>
      <c r="C140" s="3" t="inlineStr">
        <is>
          <t>Natal</t>
        </is>
      </c>
      <c r="D140" s="2" t="inlineStr">
        <is>
          <t>RN</t>
        </is>
      </c>
      <c r="E140" s="3" t="inlineStr">
        <is>
          <t>Ponta Negra</t>
        </is>
      </c>
      <c r="F140" s="4" t="inlineStr">
        <is>
          <t>abrir</t>
        </is>
      </c>
      <c r="G140" s="2" t="inlineStr">
        <is>
          <t>Sim</t>
        </is>
      </c>
      <c r="H140" s="5" t="n"/>
      <c r="I140" s="6" t="n"/>
      <c r="J140" s="2">
        <f>IF(I140="","",IF(I140&gt;=300,"Alta",IF(I140&gt;=100,"Média","Baixa")))</f>
        <v/>
      </c>
      <c r="K140" s="7" t="n"/>
      <c r="L140" s="7" t="n"/>
      <c r="M140" s="7" t="n"/>
      <c r="N140" s="8" t="n"/>
      <c r="O140" s="9">
        <f>IF(N140="","",N140*'Como usar'!$C$6)</f>
        <v/>
      </c>
      <c r="P140" s="10" t="n"/>
      <c r="Q140" s="11" t="n"/>
      <c r="R140" s="11" t="n"/>
      <c r="S140" s="11" t="n"/>
      <c r="T140" s="7" t="n"/>
      <c r="U140" s="7" t="n"/>
    </row>
    <row r="141">
      <c r="A141" s="2" t="n">
        <v>140</v>
      </c>
      <c r="B141" s="3" t="inlineStr">
        <is>
          <t>Nogueirinha's Burger</t>
        </is>
      </c>
      <c r="C141" s="3" t="inlineStr">
        <is>
          <t>Natal</t>
        </is>
      </c>
      <c r="D141" s="2" t="inlineStr">
        <is>
          <t>RN</t>
        </is>
      </c>
      <c r="E141" s="3" t="inlineStr">
        <is>
          <t>Barro Vermelho</t>
        </is>
      </c>
      <c r="F141" s="4" t="inlineStr">
        <is>
          <t>abrir</t>
        </is>
      </c>
      <c r="G141" s="2" t="inlineStr"/>
      <c r="H141" s="5" t="n"/>
      <c r="I141" s="6" t="n"/>
      <c r="J141" s="2">
        <f>IF(I141="","",IF(I141&gt;=300,"Alta",IF(I141&gt;=100,"Média","Baixa")))</f>
        <v/>
      </c>
      <c r="K141" s="7" t="n"/>
      <c r="L141" s="7" t="n"/>
      <c r="M141" s="7" t="n"/>
      <c r="N141" s="8" t="n"/>
      <c r="O141" s="9">
        <f>IF(N141="","",N141*'Como usar'!$C$6)</f>
        <v/>
      </c>
      <c r="P141" s="10" t="n"/>
      <c r="Q141" s="11" t="n"/>
      <c r="R141" s="11" t="n"/>
      <c r="S141" s="11" t="n"/>
      <c r="T141" s="7" t="n"/>
      <c r="U141" s="7" t="n"/>
    </row>
    <row r="142">
      <c r="A142" s="2" t="n">
        <v>141</v>
      </c>
      <c r="B142" s="3" t="inlineStr">
        <is>
          <t>Pastelanche Lagoa Nova Pastel&amp;hambúrguer</t>
        </is>
      </c>
      <c r="C142" s="3" t="inlineStr">
        <is>
          <t>Natal</t>
        </is>
      </c>
      <c r="D142" s="2" t="inlineStr">
        <is>
          <t>RN</t>
        </is>
      </c>
      <c r="E142" s="3" t="inlineStr">
        <is>
          <t>Tirol</t>
        </is>
      </c>
      <c r="F142" s="4" t="inlineStr">
        <is>
          <t>abrir</t>
        </is>
      </c>
      <c r="G142" s="2" t="inlineStr"/>
      <c r="H142" s="5" t="n"/>
      <c r="I142" s="6" t="n"/>
      <c r="J142" s="2">
        <f>IF(I142="","",IF(I142&gt;=300,"Alta",IF(I142&gt;=100,"Média","Baixa")))</f>
        <v/>
      </c>
      <c r="K142" s="7" t="n"/>
      <c r="L142" s="7" t="n"/>
      <c r="M142" s="7" t="n"/>
      <c r="N142" s="8" t="n"/>
      <c r="O142" s="9">
        <f>IF(N142="","",N142*'Como usar'!$C$6)</f>
        <v/>
      </c>
      <c r="P142" s="10" t="n"/>
      <c r="Q142" s="11" t="n"/>
      <c r="R142" s="11" t="n"/>
      <c r="S142" s="11" t="n"/>
      <c r="T142" s="7" t="n"/>
      <c r="U142" s="7" t="n"/>
    </row>
    <row r="143">
      <c r="A143" s="2" t="n">
        <v>142</v>
      </c>
      <c r="B143" s="3" t="inlineStr">
        <is>
          <t>Broken Burger</t>
        </is>
      </c>
      <c r="C143" s="3" t="inlineStr">
        <is>
          <t>Porto Velho</t>
        </is>
      </c>
      <c r="D143" s="2" t="inlineStr">
        <is>
          <t>RO</t>
        </is>
      </c>
      <c r="E143" s="3" t="inlineStr">
        <is>
          <t>Olaria</t>
        </is>
      </c>
      <c r="F143" s="4" t="inlineStr">
        <is>
          <t>abrir</t>
        </is>
      </c>
      <c r="G143" s="2" t="inlineStr"/>
      <c r="H143" s="5" t="n"/>
      <c r="I143" s="6" t="n"/>
      <c r="J143" s="2">
        <f>IF(I143="","",IF(I143&gt;=300,"Alta",IF(I143&gt;=100,"Média","Baixa")))</f>
        <v/>
      </c>
      <c r="K143" s="7" t="n"/>
      <c r="L143" s="7" t="n"/>
      <c r="M143" s="7" t="n"/>
      <c r="N143" s="8" t="n"/>
      <c r="O143" s="9">
        <f>IF(N143="","",N143*'Como usar'!$C$6)</f>
        <v/>
      </c>
      <c r="P143" s="10" t="n"/>
      <c r="Q143" s="11" t="n"/>
      <c r="R143" s="11" t="n"/>
      <c r="S143" s="11" t="n"/>
      <c r="T143" s="7" t="n"/>
      <c r="U143" s="7" t="n"/>
    </row>
    <row r="144">
      <c r="A144" s="2" t="n">
        <v>143</v>
      </c>
      <c r="B144" s="3" t="inlineStr">
        <is>
          <t>Burger Bros Hamburgueria</t>
        </is>
      </c>
      <c r="C144" s="3" t="inlineStr">
        <is>
          <t>Porto Velho</t>
        </is>
      </c>
      <c r="D144" s="2" t="inlineStr">
        <is>
          <t>RO</t>
        </is>
      </c>
      <c r="E144" s="3" t="inlineStr">
        <is>
          <t>Pedrinhas</t>
        </is>
      </c>
      <c r="F144" s="4" t="inlineStr">
        <is>
          <t>abrir</t>
        </is>
      </c>
      <c r="G144" s="2" t="inlineStr"/>
      <c r="H144" s="5" t="n"/>
      <c r="I144" s="6" t="n"/>
      <c r="J144" s="2">
        <f>IF(I144="","",IF(I144&gt;=300,"Alta",IF(I144&gt;=100,"Média","Baixa")))</f>
        <v/>
      </c>
      <c r="K144" s="7" t="n"/>
      <c r="L144" s="7" t="n"/>
      <c r="M144" s="7" t="n"/>
      <c r="N144" s="8" t="n"/>
      <c r="O144" s="9">
        <f>IF(N144="","",N144*'Como usar'!$C$6)</f>
        <v/>
      </c>
      <c r="P144" s="10" t="n"/>
      <c r="Q144" s="11" t="n"/>
      <c r="R144" s="11" t="n"/>
      <c r="S144" s="11" t="n"/>
      <c r="T144" s="7" t="n"/>
      <c r="U144" s="7" t="n"/>
    </row>
    <row r="145">
      <c r="A145" s="2" t="n">
        <v>144</v>
      </c>
      <c r="B145" s="3" t="inlineStr">
        <is>
          <t>La Brasa Burger Porto Velho</t>
        </is>
      </c>
      <c r="C145" s="3" t="inlineStr">
        <is>
          <t>Porto Velho</t>
        </is>
      </c>
      <c r="D145" s="2" t="inlineStr">
        <is>
          <t>RO</t>
        </is>
      </c>
      <c r="E145" s="3" t="inlineStr">
        <is>
          <t>Olaria</t>
        </is>
      </c>
      <c r="F145" s="4" t="inlineStr">
        <is>
          <t>abrir</t>
        </is>
      </c>
      <c r="G145" s="2" t="inlineStr">
        <is>
          <t>Sim</t>
        </is>
      </c>
      <c r="H145" s="5" t="n"/>
      <c r="I145" s="6" t="n"/>
      <c r="J145" s="2">
        <f>IF(I145="","",IF(I145&gt;=300,"Alta",IF(I145&gt;=100,"Média","Baixa")))</f>
        <v/>
      </c>
      <c r="K145" s="7" t="n"/>
      <c r="L145" s="7" t="n"/>
      <c r="M145" s="7" t="n"/>
      <c r="N145" s="8" t="n"/>
      <c r="O145" s="9">
        <f>IF(N145="","",N145*'Como usar'!$C$6)</f>
        <v/>
      </c>
      <c r="P145" s="10" t="n"/>
      <c r="Q145" s="11" t="n"/>
      <c r="R145" s="11" t="n"/>
      <c r="S145" s="11" t="n"/>
      <c r="T145" s="7" t="n"/>
      <c r="U145" s="7" t="n"/>
    </row>
    <row r="146">
      <c r="A146" s="2" t="n">
        <v>145</v>
      </c>
      <c r="B146" s="3" t="inlineStr">
        <is>
          <t>Routes Hamburgueria</t>
        </is>
      </c>
      <c r="C146" s="3" t="inlineStr">
        <is>
          <t>Porto Velho</t>
        </is>
      </c>
      <c r="D146" s="2" t="inlineStr">
        <is>
          <t>RO</t>
        </is>
      </c>
      <c r="E146" s="3" t="inlineStr">
        <is>
          <t>Igarapé</t>
        </is>
      </c>
      <c r="F146" s="4" t="inlineStr">
        <is>
          <t>abrir</t>
        </is>
      </c>
      <c r="G146" s="2" t="inlineStr"/>
      <c r="H146" s="5" t="n"/>
      <c r="I146" s="6" t="n"/>
      <c r="J146" s="2">
        <f>IF(I146="","",IF(I146&gt;=300,"Alta",IF(I146&gt;=100,"Média","Baixa")))</f>
        <v/>
      </c>
      <c r="K146" s="7" t="n"/>
      <c r="L146" s="7" t="n"/>
      <c r="M146" s="7" t="n"/>
      <c r="N146" s="8" t="n"/>
      <c r="O146" s="9">
        <f>IF(N146="","",N146*'Como usar'!$C$6)</f>
        <v/>
      </c>
      <c r="P146" s="10" t="n"/>
      <c r="Q146" s="11" t="n"/>
      <c r="R146" s="11" t="n"/>
      <c r="S146" s="11" t="n"/>
      <c r="T146" s="7" t="n"/>
      <c r="U146" s="7" t="n"/>
    </row>
    <row r="147">
      <c r="A147" s="2" t="n">
        <v>146</v>
      </c>
      <c r="B147" s="3" t="inlineStr">
        <is>
          <t>Speciality Burguer Hamburgueria Artesanal</t>
        </is>
      </c>
      <c r="C147" s="3" t="inlineStr">
        <is>
          <t>Porto Velho</t>
        </is>
      </c>
      <c r="D147" s="2" t="inlineStr">
        <is>
          <t>RO</t>
        </is>
      </c>
      <c r="E147" s="3" t="inlineStr">
        <is>
          <t>Embratel</t>
        </is>
      </c>
      <c r="F147" s="4" t="inlineStr">
        <is>
          <t>abrir</t>
        </is>
      </c>
      <c r="G147" s="2" t="inlineStr"/>
      <c r="H147" s="5" t="n"/>
      <c r="I147" s="6" t="n"/>
      <c r="J147" s="2">
        <f>IF(I147="","",IF(I147&gt;=300,"Alta",IF(I147&gt;=100,"Média","Baixa")))</f>
        <v/>
      </c>
      <c r="K147" s="7" t="n"/>
      <c r="L147" s="7" t="n"/>
      <c r="M147" s="7" t="n"/>
      <c r="N147" s="8" t="n"/>
      <c r="O147" s="9">
        <f>IF(N147="","",N147*'Como usar'!$C$6)</f>
        <v/>
      </c>
      <c r="P147" s="10" t="n"/>
      <c r="Q147" s="11" t="n"/>
      <c r="R147" s="11" t="n"/>
      <c r="S147" s="11" t="n"/>
      <c r="T147" s="7" t="n"/>
      <c r="U147" s="7" t="n"/>
    </row>
    <row r="148">
      <c r="A148" s="2" t="n">
        <v>147</v>
      </c>
      <c r="B148" s="3" t="inlineStr">
        <is>
          <t>Velho Burger Hamburgueria</t>
        </is>
      </c>
      <c r="C148" s="3" t="inlineStr">
        <is>
          <t>Porto Velho</t>
        </is>
      </c>
      <c r="D148" s="2" t="inlineStr">
        <is>
          <t>RO</t>
        </is>
      </c>
      <c r="E148" s="3" t="inlineStr">
        <is>
          <t>Areal</t>
        </is>
      </c>
      <c r="F148" s="4" t="inlineStr">
        <is>
          <t>abrir</t>
        </is>
      </c>
      <c r="G148" s="2" t="inlineStr"/>
      <c r="H148" s="5" t="n"/>
      <c r="I148" s="6" t="n"/>
      <c r="J148" s="2">
        <f>IF(I148="","",IF(I148&gt;=300,"Alta",IF(I148&gt;=100,"Média","Baixa")))</f>
        <v/>
      </c>
      <c r="K148" s="7" t="n"/>
      <c r="L148" s="7" t="n"/>
      <c r="M148" s="7" t="n"/>
      <c r="N148" s="8" t="n"/>
      <c r="O148" s="9">
        <f>IF(N148="","",N148*'Como usar'!$C$6)</f>
        <v/>
      </c>
      <c r="P148" s="10" t="n"/>
      <c r="Q148" s="11" t="n"/>
      <c r="R148" s="11" t="n"/>
      <c r="S148" s="11" t="n"/>
      <c r="T148" s="7" t="n"/>
      <c r="U148" s="7" t="n"/>
    </row>
    <row r="149">
      <c r="A149" s="2" t="n">
        <v>148</v>
      </c>
      <c r="B149" s="3" t="inlineStr">
        <is>
          <t>D'burger</t>
        </is>
      </c>
      <c r="C149" s="3" t="inlineStr">
        <is>
          <t>Boa Vista</t>
        </is>
      </c>
      <c r="D149" s="2" t="inlineStr">
        <is>
          <t>RR</t>
        </is>
      </c>
      <c r="E149" s="3" t="inlineStr">
        <is>
          <t>Mecejana</t>
        </is>
      </c>
      <c r="F149" s="4" t="inlineStr">
        <is>
          <t>abrir</t>
        </is>
      </c>
      <c r="G149" s="2" t="inlineStr"/>
      <c r="H149" s="5" t="n"/>
      <c r="I149" s="6" t="n"/>
      <c r="J149" s="2">
        <f>IF(I149="","",IF(I149&gt;=300,"Alta",IF(I149&gt;=100,"Média","Baixa")))</f>
        <v/>
      </c>
      <c r="K149" s="7" t="n"/>
      <c r="L149" s="7" t="n"/>
      <c r="M149" s="7" t="n"/>
      <c r="N149" s="8" t="n"/>
      <c r="O149" s="9">
        <f>IF(N149="","",N149*'Como usar'!$C$6)</f>
        <v/>
      </c>
      <c r="P149" s="10" t="n"/>
      <c r="Q149" s="11" t="n"/>
      <c r="R149" s="11" t="n"/>
      <c r="S149" s="11" t="n"/>
      <c r="T149" s="7" t="n"/>
      <c r="U149" s="7" t="n"/>
    </row>
    <row r="150">
      <c r="A150" s="2" t="n">
        <v>149</v>
      </c>
      <c r="B150" s="3" t="inlineStr">
        <is>
          <t>Hamburgueria 244</t>
        </is>
      </c>
      <c r="C150" s="3" t="inlineStr">
        <is>
          <t>Boa Vista</t>
        </is>
      </c>
      <c r="D150" s="2" t="inlineStr">
        <is>
          <t>RR</t>
        </is>
      </c>
      <c r="E150" s="3" t="inlineStr">
        <is>
          <t>Buritis</t>
        </is>
      </c>
      <c r="F150" s="4" t="inlineStr">
        <is>
          <t>abrir</t>
        </is>
      </c>
      <c r="G150" s="2" t="inlineStr"/>
      <c r="H150" s="5" t="n"/>
      <c r="I150" s="6" t="n"/>
      <c r="J150" s="2">
        <f>IF(I150="","",IF(I150&gt;=300,"Alta",IF(I150&gt;=100,"Média","Baixa")))</f>
        <v/>
      </c>
      <c r="K150" s="7" t="n"/>
      <c r="L150" s="7" t="n"/>
      <c r="M150" s="7" t="n"/>
      <c r="N150" s="8" t="n"/>
      <c r="O150" s="9">
        <f>IF(N150="","",N150*'Como usar'!$C$6)</f>
        <v/>
      </c>
      <c r="P150" s="10" t="n"/>
      <c r="Q150" s="11" t="n"/>
      <c r="R150" s="11" t="n"/>
      <c r="S150" s="11" t="n"/>
      <c r="T150" s="7" t="n"/>
      <c r="U150" s="7" t="n"/>
    </row>
    <row r="151">
      <c r="A151" s="2" t="n">
        <v>150</v>
      </c>
      <c r="B151" s="3" t="inlineStr">
        <is>
          <t>La Brasa Burger - Boa Vista</t>
        </is>
      </c>
      <c r="C151" s="3" t="inlineStr">
        <is>
          <t>Boa Vista</t>
        </is>
      </c>
      <c r="D151" s="2" t="inlineStr">
        <is>
          <t>RR</t>
        </is>
      </c>
      <c r="E151" s="3" t="inlineStr">
        <is>
          <t>Trinta e Um de Março</t>
        </is>
      </c>
      <c r="F151" s="4" t="inlineStr">
        <is>
          <t>abrir</t>
        </is>
      </c>
      <c r="G151" s="2" t="inlineStr">
        <is>
          <t>Sim</t>
        </is>
      </c>
      <c r="H151" s="5" t="n"/>
      <c r="I151" s="6" t="n"/>
      <c r="J151" s="2">
        <f>IF(I151="","",IF(I151&gt;=300,"Alta",IF(I151&gt;=100,"Média","Baixa")))</f>
        <v/>
      </c>
      <c r="K151" s="7" t="n"/>
      <c r="L151" s="7" t="n"/>
      <c r="M151" s="7" t="n"/>
      <c r="N151" s="8" t="n"/>
      <c r="O151" s="9">
        <f>IF(N151="","",N151*'Como usar'!$C$6)</f>
        <v/>
      </c>
      <c r="P151" s="10" t="n"/>
      <c r="Q151" s="11" t="n"/>
      <c r="R151" s="11" t="n"/>
      <c r="S151" s="11" t="n"/>
      <c r="T151" s="7" t="n"/>
      <c r="U151" s="7" t="n"/>
    </row>
    <row r="152">
      <c r="A152" s="2" t="n">
        <v>151</v>
      </c>
      <c r="B152" s="3" t="inlineStr">
        <is>
          <t>Peppers Burger</t>
        </is>
      </c>
      <c r="C152" s="3" t="inlineStr">
        <is>
          <t>Erechim</t>
        </is>
      </c>
      <c r="D152" s="2" t="inlineStr">
        <is>
          <t>RS</t>
        </is>
      </c>
      <c r="E152" s="3" t="inlineStr">
        <is>
          <t>Centro</t>
        </is>
      </c>
      <c r="F152" s="4" t="inlineStr">
        <is>
          <t>abrir</t>
        </is>
      </c>
      <c r="G152" s="2" t="inlineStr"/>
      <c r="H152" s="5" t="n"/>
      <c r="I152" s="6" t="n"/>
      <c r="J152" s="2">
        <f>IF(I152="","",IF(I152&gt;=300,"Alta",IF(I152&gt;=100,"Média","Baixa")))</f>
        <v/>
      </c>
      <c r="K152" s="7" t="n"/>
      <c r="L152" s="7" t="n"/>
      <c r="M152" s="7" t="n"/>
      <c r="N152" s="8" t="n"/>
      <c r="O152" s="9">
        <f>IF(N152="","",N152*'Como usar'!$C$6)</f>
        <v/>
      </c>
      <c r="P152" s="10" t="n"/>
      <c r="Q152" s="11" t="n"/>
      <c r="R152" s="11" t="n"/>
      <c r="S152" s="11" t="n"/>
      <c r="T152" s="7" t="n"/>
      <c r="U152" s="7" t="n"/>
    </row>
    <row r="153">
      <c r="A153" s="2" t="n">
        <v>152</v>
      </c>
      <c r="B153" s="3" t="inlineStr">
        <is>
          <t>Jack's Factory Smash Burger - Bom Fim</t>
        </is>
      </c>
      <c r="C153" s="3" t="inlineStr">
        <is>
          <t>Porto Alegre</t>
        </is>
      </c>
      <c r="D153" s="2" t="inlineStr">
        <is>
          <t>RS</t>
        </is>
      </c>
      <c r="E153" s="3" t="inlineStr">
        <is>
          <t>Bom Fim</t>
        </is>
      </c>
      <c r="F153" s="4" t="inlineStr">
        <is>
          <t>abrir</t>
        </is>
      </c>
      <c r="G153" s="2" t="inlineStr">
        <is>
          <t>Sim</t>
        </is>
      </c>
      <c r="H153" s="5" t="n"/>
      <c r="I153" s="6" t="n"/>
      <c r="J153" s="2">
        <f>IF(I153="","",IF(I153&gt;=300,"Alta",IF(I153&gt;=100,"Média","Baixa")))</f>
        <v/>
      </c>
      <c r="K153" s="7" t="n"/>
      <c r="L153" s="7" t="n"/>
      <c r="M153" s="7" t="n"/>
      <c r="N153" s="8" t="n"/>
      <c r="O153" s="9">
        <f>IF(N153="","",N153*'Como usar'!$C$6)</f>
        <v/>
      </c>
      <c r="P153" s="10" t="n"/>
      <c r="Q153" s="11" t="n"/>
      <c r="R153" s="11" t="n"/>
      <c r="S153" s="11" t="n"/>
      <c r="T153" s="7" t="n"/>
      <c r="U153" s="7" t="n"/>
    </row>
    <row r="154">
      <c r="A154" s="2" t="n">
        <v>153</v>
      </c>
      <c r="B154" s="3" t="inlineStr">
        <is>
          <t>Master Smash Burger</t>
        </is>
      </c>
      <c r="C154" s="3" t="inlineStr">
        <is>
          <t>Porto Alegre</t>
        </is>
      </c>
      <c r="D154" s="2" t="inlineStr">
        <is>
          <t>RS</t>
        </is>
      </c>
      <c r="E154" s="3" t="inlineStr">
        <is>
          <t>Tristeza</t>
        </is>
      </c>
      <c r="F154" s="4" t="inlineStr">
        <is>
          <t>abrir</t>
        </is>
      </c>
      <c r="G154" s="2" t="inlineStr"/>
      <c r="H154" s="5" t="n"/>
      <c r="I154" s="6" t="n"/>
      <c r="J154" s="2">
        <f>IF(I154="","",IF(I154&gt;=300,"Alta",IF(I154&gt;=100,"Média","Baixa")))</f>
        <v/>
      </c>
      <c r="K154" s="7" t="n"/>
      <c r="L154" s="7" t="n"/>
      <c r="M154" s="7" t="n"/>
      <c r="N154" s="8" t="n"/>
      <c r="O154" s="9">
        <f>IF(N154="","",N154*'Como usar'!$C$6)</f>
        <v/>
      </c>
      <c r="P154" s="10" t="n"/>
      <c r="Q154" s="11" t="n"/>
      <c r="R154" s="11" t="n"/>
      <c r="S154" s="11" t="n"/>
      <c r="T154" s="7" t="n"/>
      <c r="U154" s="7" t="n"/>
    </row>
    <row r="155">
      <c r="A155" s="2" t="n">
        <v>154</v>
      </c>
      <c r="B155" s="3" t="inlineStr">
        <is>
          <t>Porto Burger e Xis - Hamburgueria Artesanal</t>
        </is>
      </c>
      <c r="C155" s="3" t="inlineStr">
        <is>
          <t>Porto Alegre</t>
        </is>
      </c>
      <c r="D155" s="2" t="inlineStr">
        <is>
          <t>RS</t>
        </is>
      </c>
      <c r="E155" s="3" t="inlineStr">
        <is>
          <t>Mont'Serrat</t>
        </is>
      </c>
      <c r="F155" s="4" t="inlineStr">
        <is>
          <t>abrir</t>
        </is>
      </c>
      <c r="G155" s="2" t="inlineStr"/>
      <c r="H155" s="5" t="n"/>
      <c r="I155" s="6" t="n"/>
      <c r="J155" s="2">
        <f>IF(I155="","",IF(I155&gt;=300,"Alta",IF(I155&gt;=100,"Média","Baixa")))</f>
        <v/>
      </c>
      <c r="K155" s="7" t="n"/>
      <c r="L155" s="7" t="n"/>
      <c r="M155" s="7" t="n"/>
      <c r="N155" s="8" t="n"/>
      <c r="O155" s="9">
        <f>IF(N155="","",N155*'Como usar'!$C$6)</f>
        <v/>
      </c>
      <c r="P155" s="10" t="n"/>
      <c r="Q155" s="11" t="n"/>
      <c r="R155" s="11" t="n"/>
      <c r="S155" s="11" t="n"/>
      <c r="T155" s="7" t="n"/>
      <c r="U155" s="7" t="n"/>
    </row>
    <row r="156">
      <c r="A156" s="2" t="n">
        <v>155</v>
      </c>
      <c r="B156" s="3" t="inlineStr">
        <is>
          <t>Pretti Hamburgueria - Smash Burger</t>
        </is>
      </c>
      <c r="C156" s="3" t="inlineStr">
        <is>
          <t>Porto Alegre</t>
        </is>
      </c>
      <c r="D156" s="2" t="inlineStr">
        <is>
          <t>RS</t>
        </is>
      </c>
      <c r="E156" s="3" t="inlineStr">
        <is>
          <t>Partenon</t>
        </is>
      </c>
      <c r="F156" s="4" t="inlineStr">
        <is>
          <t>abrir</t>
        </is>
      </c>
      <c r="G156" s="2" t="inlineStr"/>
      <c r="H156" s="5" t="n"/>
      <c r="I156" s="6" t="n"/>
      <c r="J156" s="2">
        <f>IF(I156="","",IF(I156&gt;=300,"Alta",IF(I156&gt;=100,"Média","Baixa")))</f>
        <v/>
      </c>
      <c r="K156" s="7" t="n"/>
      <c r="L156" s="7" t="n"/>
      <c r="M156" s="7" t="n"/>
      <c r="N156" s="8" t="n"/>
      <c r="O156" s="9">
        <f>IF(N156="","",N156*'Como usar'!$C$6)</f>
        <v/>
      </c>
      <c r="P156" s="10" t="n"/>
      <c r="Q156" s="11" t="n"/>
      <c r="R156" s="11" t="n"/>
      <c r="S156" s="11" t="n"/>
      <c r="T156" s="7" t="n"/>
      <c r="U156" s="7" t="n"/>
    </row>
    <row r="157">
      <c r="A157" s="2" t="n">
        <v>156</v>
      </c>
      <c r="B157" s="3" t="inlineStr">
        <is>
          <t>Smash Burger Poa</t>
        </is>
      </c>
      <c r="C157" s="3" t="inlineStr">
        <is>
          <t>Porto Alegre</t>
        </is>
      </c>
      <c r="D157" s="2" t="inlineStr">
        <is>
          <t>RS</t>
        </is>
      </c>
      <c r="E157" s="3" t="inlineStr">
        <is>
          <t>Boa Vista</t>
        </is>
      </c>
      <c r="F157" s="4" t="inlineStr">
        <is>
          <t>abrir</t>
        </is>
      </c>
      <c r="G157" s="2" t="inlineStr"/>
      <c r="H157" s="5" t="n"/>
      <c r="I157" s="6" t="n"/>
      <c r="J157" s="2">
        <f>IF(I157="","",IF(I157&gt;=300,"Alta",IF(I157&gt;=100,"Média","Baixa")))</f>
        <v/>
      </c>
      <c r="K157" s="7" t="n"/>
      <c r="L157" s="7" t="n"/>
      <c r="M157" s="7" t="n"/>
      <c r="N157" s="8" t="n"/>
      <c r="O157" s="9">
        <f>IF(N157="","",N157*'Como usar'!$C$6)</f>
        <v/>
      </c>
      <c r="P157" s="10" t="n"/>
      <c r="Q157" s="11" t="n"/>
      <c r="R157" s="11" t="n"/>
      <c r="S157" s="11" t="n"/>
      <c r="T157" s="7" t="n"/>
      <c r="U157" s="7" t="n"/>
    </row>
    <row r="158">
      <c r="A158" s="2" t="n">
        <v>157</v>
      </c>
      <c r="B158" s="3" t="inlineStr">
        <is>
          <t>Três Gordos Ultra Smash Burguer</t>
        </is>
      </c>
      <c r="C158" s="3" t="inlineStr">
        <is>
          <t>Porto Alegre</t>
        </is>
      </c>
      <c r="D158" s="2" t="inlineStr">
        <is>
          <t>RS</t>
        </is>
      </c>
      <c r="E158" s="3" t="inlineStr">
        <is>
          <t>Auxiliadora</t>
        </is>
      </c>
      <c r="F158" s="4" t="inlineStr">
        <is>
          <t>abrir</t>
        </is>
      </c>
      <c r="G158" s="2" t="inlineStr">
        <is>
          <t>Sim</t>
        </is>
      </c>
      <c r="H158" s="5" t="n"/>
      <c r="I158" s="6" t="n"/>
      <c r="J158" s="2">
        <f>IF(I158="","",IF(I158&gt;=300,"Alta",IF(I158&gt;=100,"Média","Baixa")))</f>
        <v/>
      </c>
      <c r="K158" s="7" t="n"/>
      <c r="L158" s="7" t="n"/>
      <c r="M158" s="7" t="n"/>
      <c r="N158" s="8" t="n"/>
      <c r="O158" s="9">
        <f>IF(N158="","",N158*'Como usar'!$C$6)</f>
        <v/>
      </c>
      <c r="P158" s="10" t="n"/>
      <c r="Q158" s="11" t="n"/>
      <c r="R158" s="11" t="n"/>
      <c r="S158" s="11" t="n"/>
      <c r="T158" s="7" t="n"/>
      <c r="U158" s="7" t="n"/>
    </row>
    <row r="159">
      <c r="A159" s="2" t="n">
        <v>158</v>
      </c>
      <c r="B159" s="3" t="inlineStr">
        <is>
          <t>Xis Flip - Xis &amp; Smash Burger</t>
        </is>
      </c>
      <c r="C159" s="3" t="inlineStr">
        <is>
          <t>Porto Alegre</t>
        </is>
      </c>
      <c r="D159" s="2" t="inlineStr">
        <is>
          <t>RS</t>
        </is>
      </c>
      <c r="E159" s="3" t="inlineStr">
        <is>
          <t>Moinhos de Vento</t>
        </is>
      </c>
      <c r="F159" s="4" t="inlineStr">
        <is>
          <t>abrir</t>
        </is>
      </c>
      <c r="G159" s="2" t="inlineStr"/>
      <c r="H159" s="5" t="n"/>
      <c r="I159" s="6" t="n"/>
      <c r="J159" s="2">
        <f>IF(I159="","",IF(I159&gt;=300,"Alta",IF(I159&gt;=100,"Média","Baixa")))</f>
        <v/>
      </c>
      <c r="K159" s="7" t="n"/>
      <c r="L159" s="7" t="n"/>
      <c r="M159" s="7" t="n"/>
      <c r="N159" s="8" t="n"/>
      <c r="O159" s="9">
        <f>IF(N159="","",N159*'Como usar'!$C$6)</f>
        <v/>
      </c>
      <c r="P159" s="10" t="n"/>
      <c r="Q159" s="11" t="n"/>
      <c r="R159" s="11" t="n"/>
      <c r="S159" s="11" t="n"/>
      <c r="T159" s="7" t="n"/>
      <c r="U159" s="7" t="n"/>
    </row>
    <row r="160">
      <c r="A160" s="2" t="n">
        <v>159</v>
      </c>
      <c r="B160" s="3" t="inlineStr">
        <is>
          <t>Bravo Burger</t>
        </is>
      </c>
      <c r="C160" s="3" t="inlineStr">
        <is>
          <t>Blumenau</t>
        </is>
      </c>
      <c r="D160" s="2" t="inlineStr">
        <is>
          <t>SC</t>
        </is>
      </c>
      <c r="E160" s="3" t="inlineStr">
        <is>
          <t>Fortaleza Alta</t>
        </is>
      </c>
      <c r="F160" s="4" t="inlineStr">
        <is>
          <t>abrir</t>
        </is>
      </c>
      <c r="G160" s="2" t="inlineStr">
        <is>
          <t>Sim</t>
        </is>
      </c>
      <c r="H160" s="5" t="n"/>
      <c r="I160" s="6" t="n"/>
      <c r="J160" s="2">
        <f>IF(I160="","",IF(I160&gt;=300,"Alta",IF(I160&gt;=100,"Média","Baixa")))</f>
        <v/>
      </c>
      <c r="K160" s="7" t="n"/>
      <c r="L160" s="7" t="n"/>
      <c r="M160" s="7" t="n"/>
      <c r="N160" s="8" t="n"/>
      <c r="O160" s="9">
        <f>IF(N160="","",N160*'Como usar'!$C$6)</f>
        <v/>
      </c>
      <c r="P160" s="10" t="n"/>
      <c r="Q160" s="11" t="n"/>
      <c r="R160" s="11" t="n"/>
      <c r="S160" s="11" t="n"/>
      <c r="T160" s="7" t="n"/>
      <c r="U160" s="7" t="n"/>
    </row>
    <row r="161">
      <c r="A161" s="2" t="n">
        <v>160</v>
      </c>
      <c r="B161" s="3" t="inlineStr">
        <is>
          <t>Bravo Burger - Antônio da Veiga</t>
        </is>
      </c>
      <c r="C161" s="3" t="inlineStr">
        <is>
          <t>Blumenau</t>
        </is>
      </c>
      <c r="D161" s="2" t="inlineStr">
        <is>
          <t>SC</t>
        </is>
      </c>
      <c r="E161" s="3" t="inlineStr">
        <is>
          <t>Itoupavazinha</t>
        </is>
      </c>
      <c r="F161" s="4" t="inlineStr">
        <is>
          <t>abrir</t>
        </is>
      </c>
      <c r="G161" s="2" t="inlineStr">
        <is>
          <t>Sim</t>
        </is>
      </c>
      <c r="H161" s="5" t="n"/>
      <c r="I161" s="6" t="n"/>
      <c r="J161" s="2">
        <f>IF(I161="","",IF(I161&gt;=300,"Alta",IF(I161&gt;=100,"Média","Baixa")))</f>
        <v/>
      </c>
      <c r="K161" s="7" t="n"/>
      <c r="L161" s="7" t="n"/>
      <c r="M161" s="7" t="n"/>
      <c r="N161" s="8" t="n"/>
      <c r="O161" s="9">
        <f>IF(N161="","",N161*'Como usar'!$C$6)</f>
        <v/>
      </c>
      <c r="P161" s="10" t="n"/>
      <c r="Q161" s="11" t="n"/>
      <c r="R161" s="11" t="n"/>
      <c r="S161" s="11" t="n"/>
      <c r="T161" s="7" t="n"/>
      <c r="U161" s="7" t="n"/>
    </row>
    <row r="162">
      <c r="A162" s="2" t="n">
        <v>161</v>
      </c>
      <c r="B162" s="3" t="inlineStr">
        <is>
          <t>Billy King Hamburgueria</t>
        </is>
      </c>
      <c r="C162" s="3" t="inlineStr">
        <is>
          <t>Florianópolis</t>
        </is>
      </c>
      <c r="D162" s="2" t="inlineStr">
        <is>
          <t>SC</t>
        </is>
      </c>
      <c r="E162" s="3" t="inlineStr">
        <is>
          <t>Campeche Central</t>
        </is>
      </c>
      <c r="F162" s="4" t="inlineStr">
        <is>
          <t>abrir</t>
        </is>
      </c>
      <c r="G162" s="2" t="inlineStr"/>
      <c r="H162" s="5" t="n"/>
      <c r="I162" s="6" t="n"/>
      <c r="J162" s="2">
        <f>IF(I162="","",IF(I162&gt;=300,"Alta",IF(I162&gt;=100,"Média","Baixa")))</f>
        <v/>
      </c>
      <c r="K162" s="7" t="n"/>
      <c r="L162" s="7" t="n"/>
      <c r="M162" s="7" t="n"/>
      <c r="N162" s="8" t="n"/>
      <c r="O162" s="9">
        <f>IF(N162="","",N162*'Como usar'!$C$6)</f>
        <v/>
      </c>
      <c r="P162" s="10" t="n"/>
      <c r="Q162" s="11" t="n"/>
      <c r="R162" s="11" t="n"/>
      <c r="S162" s="11" t="n"/>
      <c r="T162" s="7" t="n"/>
      <c r="U162" s="7" t="n"/>
    </row>
    <row r="163">
      <c r="A163" s="2" t="n">
        <v>162</v>
      </c>
      <c r="B163" s="3" t="inlineStr">
        <is>
          <t>Flaty Burger</t>
        </is>
      </c>
      <c r="C163" s="3" t="inlineStr">
        <is>
          <t>Florianópolis</t>
        </is>
      </c>
      <c r="D163" s="2" t="inlineStr">
        <is>
          <t>SC</t>
        </is>
      </c>
      <c r="E163" s="3" t="inlineStr">
        <is>
          <t>Canasvieiras</t>
        </is>
      </c>
      <c r="F163" s="4" t="inlineStr">
        <is>
          <t>abrir</t>
        </is>
      </c>
      <c r="G163" s="2" t="inlineStr"/>
      <c r="H163" s="5" t="n"/>
      <c r="I163" s="6" t="n"/>
      <c r="J163" s="2">
        <f>IF(I163="","",IF(I163&gt;=300,"Alta",IF(I163&gt;=100,"Média","Baixa")))</f>
        <v/>
      </c>
      <c r="K163" s="7" t="n"/>
      <c r="L163" s="7" t="n"/>
      <c r="M163" s="7" t="n"/>
      <c r="N163" s="8" t="n"/>
      <c r="O163" s="9">
        <f>IF(N163="","",N163*'Como usar'!$C$6)</f>
        <v/>
      </c>
      <c r="P163" s="10" t="n"/>
      <c r="Q163" s="11" t="n"/>
      <c r="R163" s="11" t="n"/>
      <c r="S163" s="11" t="n"/>
      <c r="T163" s="7" t="n"/>
      <c r="U163" s="7" t="n"/>
    </row>
    <row r="164">
      <c r="A164" s="2" t="n">
        <v>163</v>
      </c>
      <c r="B164" s="3" t="inlineStr">
        <is>
          <t>Floripa Burgers</t>
        </is>
      </c>
      <c r="C164" s="3" t="inlineStr">
        <is>
          <t>Florianópolis</t>
        </is>
      </c>
      <c r="D164" s="2" t="inlineStr">
        <is>
          <t>SC</t>
        </is>
      </c>
      <c r="E164" s="3" t="inlineStr">
        <is>
          <t>Jureré</t>
        </is>
      </c>
      <c r="F164" s="4" t="inlineStr">
        <is>
          <t>abrir</t>
        </is>
      </c>
      <c r="G164" s="2" t="inlineStr"/>
      <c r="H164" s="5" t="n"/>
      <c r="I164" s="6" t="n"/>
      <c r="J164" s="2">
        <f>IF(I164="","",IF(I164&gt;=300,"Alta",IF(I164&gt;=100,"Média","Baixa")))</f>
        <v/>
      </c>
      <c r="K164" s="7" t="n"/>
      <c r="L164" s="7" t="n"/>
      <c r="M164" s="7" t="n"/>
      <c r="N164" s="8" t="n"/>
      <c r="O164" s="9">
        <f>IF(N164="","",N164*'Como usar'!$C$6)</f>
        <v/>
      </c>
      <c r="P164" s="10" t="n"/>
      <c r="Q164" s="11" t="n"/>
      <c r="R164" s="11" t="n"/>
      <c r="S164" s="11" t="n"/>
      <c r="T164" s="7" t="n"/>
      <c r="U164" s="7" t="n"/>
    </row>
    <row r="165">
      <c r="A165" s="2" t="n">
        <v>164</v>
      </c>
      <c r="B165" s="3" t="inlineStr">
        <is>
          <t>Floripa Porções &amp; Lanches (Smash Burguer)</t>
        </is>
      </c>
      <c r="C165" s="3" t="inlineStr">
        <is>
          <t>Florianópolis</t>
        </is>
      </c>
      <c r="D165" s="2" t="inlineStr">
        <is>
          <t>SC</t>
        </is>
      </c>
      <c r="E165" s="3" t="inlineStr">
        <is>
          <t>Agronômica</t>
        </is>
      </c>
      <c r="F165" s="4" t="inlineStr">
        <is>
          <t>abrir</t>
        </is>
      </c>
      <c r="G165" s="2" t="inlineStr"/>
      <c r="H165" s="5" t="n"/>
      <c r="I165" s="6" t="n"/>
      <c r="J165" s="2">
        <f>IF(I165="","",IF(I165&gt;=300,"Alta",IF(I165&gt;=100,"Média","Baixa")))</f>
        <v/>
      </c>
      <c r="K165" s="7" t="n"/>
      <c r="L165" s="7" t="n"/>
      <c r="M165" s="7" t="n"/>
      <c r="N165" s="8" t="n"/>
      <c r="O165" s="9">
        <f>IF(N165="","",N165*'Como usar'!$C$6)</f>
        <v/>
      </c>
      <c r="P165" s="10" t="n"/>
      <c r="Q165" s="11" t="n"/>
      <c r="R165" s="11" t="n"/>
      <c r="S165" s="11" t="n"/>
      <c r="T165" s="7" t="n"/>
      <c r="U165" s="7" t="n"/>
    </row>
    <row r="166">
      <c r="A166" s="2" t="n">
        <v>165</v>
      </c>
      <c r="B166" s="3" t="inlineStr">
        <is>
          <t>Smash Beef Burger</t>
        </is>
      </c>
      <c r="C166" s="3" t="inlineStr">
        <is>
          <t>Florianópolis</t>
        </is>
      </c>
      <c r="D166" s="2" t="inlineStr">
        <is>
          <t>SC</t>
        </is>
      </c>
      <c r="E166" s="3" t="inlineStr">
        <is>
          <t>Campeche</t>
        </is>
      </c>
      <c r="F166" s="4" t="inlineStr">
        <is>
          <t>abrir</t>
        </is>
      </c>
      <c r="G166" s="2" t="inlineStr"/>
      <c r="H166" s="5" t="n"/>
      <c r="I166" s="6" t="n"/>
      <c r="J166" s="2">
        <f>IF(I166="","",IF(I166&gt;=300,"Alta",IF(I166&gt;=100,"Média","Baixa")))</f>
        <v/>
      </c>
      <c r="K166" s="7" t="n"/>
      <c r="L166" s="7" t="n"/>
      <c r="M166" s="7" t="n"/>
      <c r="N166" s="8" t="n"/>
      <c r="O166" s="9">
        <f>IF(N166="","",N166*'Como usar'!$C$6)</f>
        <v/>
      </c>
      <c r="P166" s="10" t="n"/>
      <c r="Q166" s="11" t="n"/>
      <c r="R166" s="11" t="n"/>
      <c r="S166" s="11" t="n"/>
      <c r="T166" s="7" t="n"/>
      <c r="U166" s="7" t="n"/>
    </row>
    <row r="167">
      <c r="A167" s="2" t="n">
        <v>166</v>
      </c>
      <c r="B167" s="3" t="inlineStr">
        <is>
          <t>Smash King</t>
        </is>
      </c>
      <c r="C167" s="3" t="inlineStr">
        <is>
          <t>Florianópolis</t>
        </is>
      </c>
      <c r="D167" s="2" t="inlineStr">
        <is>
          <t>SC</t>
        </is>
      </c>
      <c r="E167" s="3" t="inlineStr">
        <is>
          <t>Pantanal</t>
        </is>
      </c>
      <c r="F167" s="4" t="inlineStr">
        <is>
          <t>abrir</t>
        </is>
      </c>
      <c r="G167" s="2" t="inlineStr"/>
      <c r="H167" s="5" t="n"/>
      <c r="I167" s="6" t="n"/>
      <c r="J167" s="2">
        <f>IF(I167="","",IF(I167&gt;=300,"Alta",IF(I167&gt;=100,"Média","Baixa")))</f>
        <v/>
      </c>
      <c r="K167" s="7" t="n"/>
      <c r="L167" s="7" t="n"/>
      <c r="M167" s="7" t="n"/>
      <c r="N167" s="8" t="n"/>
      <c r="O167" s="9">
        <f>IF(N167="","",N167*'Como usar'!$C$6)</f>
        <v/>
      </c>
      <c r="P167" s="10" t="n"/>
      <c r="Q167" s="11" t="n"/>
      <c r="R167" s="11" t="n"/>
      <c r="S167" s="11" t="n"/>
      <c r="T167" s="7" t="n"/>
      <c r="U167" s="7" t="n"/>
    </row>
    <row r="168">
      <c r="A168" s="2" t="n">
        <v>167</v>
      </c>
      <c r="B168" s="3" t="inlineStr">
        <is>
          <t>Tijuana Burger - Hamburguer Lagoa</t>
        </is>
      </c>
      <c r="C168" s="3" t="inlineStr">
        <is>
          <t>Florianópolis</t>
        </is>
      </c>
      <c r="D168" s="2" t="inlineStr">
        <is>
          <t>SC</t>
        </is>
      </c>
      <c r="E168" s="3" t="inlineStr">
        <is>
          <t>Lagoa da Conceição</t>
        </is>
      </c>
      <c r="F168" s="4" t="inlineStr">
        <is>
          <t>abrir</t>
        </is>
      </c>
      <c r="G168" s="2" t="inlineStr"/>
      <c r="H168" s="5" t="n"/>
      <c r="I168" s="6" t="n"/>
      <c r="J168" s="2">
        <f>IF(I168="","",IF(I168&gt;=300,"Alta",IF(I168&gt;=100,"Média","Baixa")))</f>
        <v/>
      </c>
      <c r="K168" s="7" t="n"/>
      <c r="L168" s="7" t="n"/>
      <c r="M168" s="7" t="n"/>
      <c r="N168" s="8" t="n"/>
      <c r="O168" s="9">
        <f>IF(N168="","",N168*'Como usar'!$C$6)</f>
        <v/>
      </c>
      <c r="P168" s="10" t="n"/>
      <c r="Q168" s="11" t="n"/>
      <c r="R168" s="11" t="n"/>
      <c r="S168" s="11" t="n"/>
      <c r="T168" s="7" t="n"/>
      <c r="U168" s="7" t="n"/>
    </row>
    <row r="169">
      <c r="A169" s="2" t="n">
        <v>168</v>
      </c>
      <c r="B169" s="3" t="inlineStr">
        <is>
          <t>Burger Craft Rustic Hamburgueria</t>
        </is>
      </c>
      <c r="C169" s="3" t="inlineStr">
        <is>
          <t>Joinville</t>
        </is>
      </c>
      <c r="D169" s="2" t="inlineStr">
        <is>
          <t>SC</t>
        </is>
      </c>
      <c r="E169" s="3" t="inlineStr">
        <is>
          <t>América</t>
        </is>
      </c>
      <c r="F169" s="4" t="inlineStr">
        <is>
          <t>abrir</t>
        </is>
      </c>
      <c r="G169" s="2" t="inlineStr"/>
      <c r="H169" s="5" t="n"/>
      <c r="I169" s="6" t="n"/>
      <c r="J169" s="2">
        <f>IF(I169="","",IF(I169&gt;=300,"Alta",IF(I169&gt;=100,"Média","Baixa")))</f>
        <v/>
      </c>
      <c r="K169" s="7" t="n"/>
      <c r="L169" s="7" t="n"/>
      <c r="M169" s="7" t="n"/>
      <c r="N169" s="8" t="n"/>
      <c r="O169" s="9">
        <f>IF(N169="","",N169*'Como usar'!$C$6)</f>
        <v/>
      </c>
      <c r="P169" s="10" t="n"/>
      <c r="Q169" s="11" t="n"/>
      <c r="R169" s="11" t="n"/>
      <c r="S169" s="11" t="n"/>
      <c r="T169" s="7" t="n"/>
      <c r="U169" s="7" t="n"/>
    </row>
    <row r="170">
      <c r="A170" s="2" t="n">
        <v>169</v>
      </c>
      <c r="B170" s="3" t="inlineStr">
        <is>
          <t>Foca's Burger - Joinville</t>
        </is>
      </c>
      <c r="C170" s="3" t="inlineStr">
        <is>
          <t>Joinville</t>
        </is>
      </c>
      <c r="D170" s="2" t="inlineStr">
        <is>
          <t>SC</t>
        </is>
      </c>
      <c r="E170" s="3" t="inlineStr">
        <is>
          <t>Bucarein</t>
        </is>
      </c>
      <c r="F170" s="4" t="inlineStr">
        <is>
          <t>abrir</t>
        </is>
      </c>
      <c r="G170" s="2" t="inlineStr"/>
      <c r="H170" s="5" t="n"/>
      <c r="I170" s="6" t="n"/>
      <c r="J170" s="2">
        <f>IF(I170="","",IF(I170&gt;=300,"Alta",IF(I170&gt;=100,"Média","Baixa")))</f>
        <v/>
      </c>
      <c r="K170" s="7" t="n"/>
      <c r="L170" s="7" t="n"/>
      <c r="M170" s="7" t="n"/>
      <c r="N170" s="8" t="n"/>
      <c r="O170" s="9">
        <f>IF(N170="","",N170*'Como usar'!$C$6)</f>
        <v/>
      </c>
      <c r="P170" s="10" t="n"/>
      <c r="Q170" s="11" t="n"/>
      <c r="R170" s="11" t="n"/>
      <c r="S170" s="11" t="n"/>
      <c r="T170" s="7" t="n"/>
      <c r="U170" s="7" t="n"/>
    </row>
    <row r="171">
      <c r="A171" s="2" t="n">
        <v>170</v>
      </c>
      <c r="B171" s="3" t="inlineStr">
        <is>
          <t>Hamburgueria Buenos Delivery</t>
        </is>
      </c>
      <c r="C171" s="3" t="inlineStr">
        <is>
          <t>Joinville</t>
        </is>
      </c>
      <c r="D171" s="2" t="inlineStr">
        <is>
          <t>SC</t>
        </is>
      </c>
      <c r="E171" s="3" t="inlineStr">
        <is>
          <t>Fátima</t>
        </is>
      </c>
      <c r="F171" s="4" t="inlineStr">
        <is>
          <t>abrir</t>
        </is>
      </c>
      <c r="G171" s="2" t="inlineStr"/>
      <c r="H171" s="5" t="n"/>
      <c r="I171" s="6" t="n"/>
      <c r="J171" s="2">
        <f>IF(I171="","",IF(I171&gt;=300,"Alta",IF(I171&gt;=100,"Média","Baixa")))</f>
        <v/>
      </c>
      <c r="K171" s="7" t="n"/>
      <c r="L171" s="7" t="n"/>
      <c r="M171" s="7" t="n"/>
      <c r="N171" s="8" t="n"/>
      <c r="O171" s="9">
        <f>IF(N171="","",N171*'Como usar'!$C$6)</f>
        <v/>
      </c>
      <c r="P171" s="10" t="n"/>
      <c r="Q171" s="11" t="n"/>
      <c r="R171" s="11" t="n"/>
      <c r="S171" s="11" t="n"/>
      <c r="T171" s="7" t="n"/>
      <c r="U171" s="7" t="n"/>
    </row>
    <row r="172">
      <c r="A172" s="2" t="n">
        <v>171</v>
      </c>
      <c r="B172" s="3" t="inlineStr">
        <is>
          <t>Jhonny's Burgers</t>
        </is>
      </c>
      <c r="C172" s="3" t="inlineStr">
        <is>
          <t>Joinville</t>
        </is>
      </c>
      <c r="D172" s="2" t="inlineStr">
        <is>
          <t>SC</t>
        </is>
      </c>
      <c r="E172" s="3" t="inlineStr">
        <is>
          <t>Costa e Silva</t>
        </is>
      </c>
      <c r="F172" s="4" t="inlineStr">
        <is>
          <t>abrir</t>
        </is>
      </c>
      <c r="G172" s="2" t="inlineStr"/>
      <c r="H172" s="5" t="n"/>
      <c r="I172" s="6" t="n"/>
      <c r="J172" s="2">
        <f>IF(I172="","",IF(I172&gt;=300,"Alta",IF(I172&gt;=100,"Média","Baixa")))</f>
        <v/>
      </c>
      <c r="K172" s="7" t="n"/>
      <c r="L172" s="7" t="n"/>
      <c r="M172" s="7" t="n"/>
      <c r="N172" s="8" t="n"/>
      <c r="O172" s="9">
        <f>IF(N172="","",N172*'Como usar'!$C$6)</f>
        <v/>
      </c>
      <c r="P172" s="10" t="n"/>
      <c r="Q172" s="11" t="n"/>
      <c r="R172" s="11" t="n"/>
      <c r="S172" s="11" t="n"/>
      <c r="T172" s="7" t="n"/>
      <c r="U172" s="7" t="n"/>
    </row>
    <row r="173">
      <c r="A173" s="2" t="n">
        <v>172</v>
      </c>
      <c r="B173" s="3" t="inlineStr">
        <is>
          <t>Nações Smash Burger</t>
        </is>
      </c>
      <c r="C173" s="3" t="inlineStr">
        <is>
          <t>Joinville</t>
        </is>
      </c>
      <c r="D173" s="2" t="inlineStr">
        <is>
          <t>SC</t>
        </is>
      </c>
      <c r="E173" s="3" t="inlineStr">
        <is>
          <t>Zona Industrial Norte</t>
        </is>
      </c>
      <c r="F173" s="4" t="inlineStr">
        <is>
          <t>abrir</t>
        </is>
      </c>
      <c r="G173" s="2" t="inlineStr"/>
      <c r="H173" s="5" t="n"/>
      <c r="I173" s="6" t="n"/>
      <c r="J173" s="2">
        <f>IF(I173="","",IF(I173&gt;=300,"Alta",IF(I173&gt;=100,"Média","Baixa")))</f>
        <v/>
      </c>
      <c r="K173" s="7" t="n"/>
      <c r="L173" s="7" t="n"/>
      <c r="M173" s="7" t="n"/>
      <c r="N173" s="8" t="n"/>
      <c r="O173" s="9">
        <f>IF(N173="","",N173*'Como usar'!$C$6)</f>
        <v/>
      </c>
      <c r="P173" s="10" t="n"/>
      <c r="Q173" s="11" t="n"/>
      <c r="R173" s="11" t="n"/>
      <c r="S173" s="11" t="n"/>
      <c r="T173" s="7" t="n"/>
      <c r="U173" s="7" t="n"/>
    </row>
    <row r="174">
      <c r="A174" s="2" t="n">
        <v>173</v>
      </c>
      <c r="B174" s="3" t="inlineStr">
        <is>
          <t>Saint Burger - Hamburgueria Artesanal</t>
        </is>
      </c>
      <c r="C174" s="3" t="inlineStr">
        <is>
          <t>Joinville</t>
        </is>
      </c>
      <c r="D174" s="2" t="inlineStr">
        <is>
          <t>SC</t>
        </is>
      </c>
      <c r="E174" s="3" t="inlineStr">
        <is>
          <t>Costa e Silva</t>
        </is>
      </c>
      <c r="F174" s="4" t="inlineStr">
        <is>
          <t>abrir</t>
        </is>
      </c>
      <c r="G174" s="2" t="inlineStr"/>
      <c r="H174" s="5" t="n"/>
      <c r="I174" s="6" t="n"/>
      <c r="J174" s="2">
        <f>IF(I174="","",IF(I174&gt;=300,"Alta",IF(I174&gt;=100,"Média","Baixa")))</f>
        <v/>
      </c>
      <c r="K174" s="7" t="n"/>
      <c r="L174" s="7" t="n"/>
      <c r="M174" s="7" t="n"/>
      <c r="N174" s="8" t="n"/>
      <c r="O174" s="9">
        <f>IF(N174="","",N174*'Como usar'!$C$6)</f>
        <v/>
      </c>
      <c r="P174" s="10" t="n"/>
      <c r="Q174" s="11" t="n"/>
      <c r="R174" s="11" t="n"/>
      <c r="S174" s="11" t="n"/>
      <c r="T174" s="7" t="n"/>
      <c r="U174" s="7" t="n"/>
    </row>
    <row r="175">
      <c r="A175" s="2" t="n">
        <v>174</v>
      </c>
      <c r="B175" s="3" t="inlineStr">
        <is>
          <t>Start Burger e Beer</t>
        </is>
      </c>
      <c r="C175" s="3" t="inlineStr">
        <is>
          <t>Joinville</t>
        </is>
      </c>
      <c r="D175" s="2" t="inlineStr">
        <is>
          <t>SC</t>
        </is>
      </c>
      <c r="E175" s="3" t="inlineStr">
        <is>
          <t>Atiradores</t>
        </is>
      </c>
      <c r="F175" s="4" t="inlineStr">
        <is>
          <t>abrir</t>
        </is>
      </c>
      <c r="G175" s="2" t="inlineStr"/>
      <c r="H175" s="5" t="n"/>
      <c r="I175" s="6" t="n"/>
      <c r="J175" s="2">
        <f>IF(I175="","",IF(I175&gt;=300,"Alta",IF(I175&gt;=100,"Média","Baixa")))</f>
        <v/>
      </c>
      <c r="K175" s="7" t="n"/>
      <c r="L175" s="7" t="n"/>
      <c r="M175" s="7" t="n"/>
      <c r="N175" s="8" t="n"/>
      <c r="O175" s="9">
        <f>IF(N175="","",N175*'Como usar'!$C$6)</f>
        <v/>
      </c>
      <c r="P175" s="10" t="n"/>
      <c r="Q175" s="11" t="n"/>
      <c r="R175" s="11" t="n"/>
      <c r="S175" s="11" t="n"/>
      <c r="T175" s="7" t="n"/>
      <c r="U175" s="7" t="n"/>
    </row>
    <row r="176">
      <c r="A176" s="2" t="n">
        <v>175</v>
      </c>
      <c r="B176" s="3" t="inlineStr">
        <is>
          <t>Tom Burger - Hamburgueria</t>
        </is>
      </c>
      <c r="C176" s="3" t="inlineStr">
        <is>
          <t>Joinville</t>
        </is>
      </c>
      <c r="D176" s="2" t="inlineStr">
        <is>
          <t>SC</t>
        </is>
      </c>
      <c r="E176" s="3" t="inlineStr">
        <is>
          <t>Petrópolis</t>
        </is>
      </c>
      <c r="F176" s="4" t="inlineStr">
        <is>
          <t>abrir</t>
        </is>
      </c>
      <c r="G176" s="2" t="inlineStr"/>
      <c r="H176" s="5" t="n"/>
      <c r="I176" s="6" t="n"/>
      <c r="J176" s="2">
        <f>IF(I176="","",IF(I176&gt;=300,"Alta",IF(I176&gt;=100,"Média","Baixa")))</f>
        <v/>
      </c>
      <c r="K176" s="7" t="n"/>
      <c r="L176" s="7" t="n"/>
      <c r="M176" s="7" t="n"/>
      <c r="N176" s="8" t="n"/>
      <c r="O176" s="9">
        <f>IF(N176="","",N176*'Como usar'!$C$6)</f>
        <v/>
      </c>
      <c r="P176" s="10" t="n"/>
      <c r="Q176" s="11" t="n"/>
      <c r="R176" s="11" t="n"/>
      <c r="S176" s="11" t="n"/>
      <c r="T176" s="7" t="n"/>
      <c r="U176" s="7" t="n"/>
    </row>
    <row r="177">
      <c r="A177" s="2" t="n">
        <v>176</v>
      </c>
      <c r="B177" s="3" t="inlineStr">
        <is>
          <t>Carne de Panela Bagueteria &amp; Smash Burger</t>
        </is>
      </c>
      <c r="C177" s="3" t="inlineStr">
        <is>
          <t>São José</t>
        </is>
      </c>
      <c r="D177" s="2" t="inlineStr">
        <is>
          <t>SC</t>
        </is>
      </c>
      <c r="E177" s="3" t="inlineStr">
        <is>
          <t>Ipiranga</t>
        </is>
      </c>
      <c r="F177" s="4" t="inlineStr">
        <is>
          <t>abrir</t>
        </is>
      </c>
      <c r="G177" s="2" t="inlineStr"/>
      <c r="H177" s="5" t="n"/>
      <c r="I177" s="6" t="n"/>
      <c r="J177" s="2">
        <f>IF(I177="","",IF(I177&gt;=300,"Alta",IF(I177&gt;=100,"Média","Baixa")))</f>
        <v/>
      </c>
      <c r="K177" s="7" t="n"/>
      <c r="L177" s="7" t="n"/>
      <c r="M177" s="7" t="n"/>
      <c r="N177" s="8" t="n"/>
      <c r="O177" s="9">
        <f>IF(N177="","",N177*'Como usar'!$C$6)</f>
        <v/>
      </c>
      <c r="P177" s="10" t="n"/>
      <c r="Q177" s="11" t="n"/>
      <c r="R177" s="11" t="n"/>
      <c r="S177" s="11" t="n"/>
      <c r="T177" s="7" t="n"/>
      <c r="U177" s="7" t="n"/>
    </row>
    <row r="178">
      <c r="A178" s="2" t="n">
        <v>177</v>
      </c>
      <c r="B178" s="3" t="inlineStr">
        <is>
          <t>iBurger Hamburgueria</t>
        </is>
      </c>
      <c r="C178" s="3" t="inlineStr">
        <is>
          <t>Tijucas</t>
        </is>
      </c>
      <c r="D178" s="2" t="inlineStr">
        <is>
          <t>SC</t>
        </is>
      </c>
      <c r="E178" s="3" t="inlineStr">
        <is>
          <t>Areias</t>
        </is>
      </c>
      <c r="F178" s="4" t="inlineStr">
        <is>
          <t>abrir</t>
        </is>
      </c>
      <c r="G178" s="2" t="inlineStr"/>
      <c r="H178" s="5" t="n"/>
      <c r="I178" s="6" t="n"/>
      <c r="J178" s="2">
        <f>IF(I178="","",IF(I178&gt;=300,"Alta",IF(I178&gt;=100,"Média","Baixa")))</f>
        <v/>
      </c>
      <c r="K178" s="7" t="n"/>
      <c r="L178" s="7" t="n"/>
      <c r="M178" s="7" t="n"/>
      <c r="N178" s="8" t="n"/>
      <c r="O178" s="9">
        <f>IF(N178="","",N178*'Como usar'!$C$6)</f>
        <v/>
      </c>
      <c r="P178" s="10" t="n"/>
      <c r="Q178" s="11" t="n"/>
      <c r="R178" s="11" t="n"/>
      <c r="S178" s="11" t="n"/>
      <c r="T178" s="7" t="n"/>
      <c r="U178" s="7" t="n"/>
    </row>
    <row r="179">
      <c r="A179" s="2" t="n">
        <v>178</v>
      </c>
      <c r="B179" s="3" t="inlineStr">
        <is>
          <t>Blend Burger Circus Foodpark</t>
        </is>
      </c>
      <c r="C179" s="3" t="inlineStr">
        <is>
          <t>Aracaju</t>
        </is>
      </c>
      <c r="D179" s="2" t="inlineStr">
        <is>
          <t>SE</t>
        </is>
      </c>
      <c r="E179" s="3" t="inlineStr">
        <is>
          <t>Jardins</t>
        </is>
      </c>
      <c r="F179" s="4" t="inlineStr">
        <is>
          <t>abrir</t>
        </is>
      </c>
      <c r="G179" s="2" t="inlineStr"/>
      <c r="H179" s="5" t="n"/>
      <c r="I179" s="6" t="n"/>
      <c r="J179" s="2">
        <f>IF(I179="","",IF(I179&gt;=300,"Alta",IF(I179&gt;=100,"Média","Baixa")))</f>
        <v/>
      </c>
      <c r="K179" s="7" t="n"/>
      <c r="L179" s="7" t="n"/>
      <c r="M179" s="7" t="n"/>
      <c r="N179" s="8" t="n"/>
      <c r="O179" s="9">
        <f>IF(N179="","",N179*'Como usar'!$C$6)</f>
        <v/>
      </c>
      <c r="P179" s="10" t="n"/>
      <c r="Q179" s="11" t="n"/>
      <c r="R179" s="11" t="n"/>
      <c r="S179" s="11" t="n"/>
      <c r="T179" s="7" t="n"/>
      <c r="U179" s="7" t="n"/>
    </row>
    <row r="180">
      <c r="A180" s="2" t="n">
        <v>179</v>
      </c>
      <c r="B180" s="3" t="inlineStr">
        <is>
          <t>Burger &amp; Cia Gourmet - Orla</t>
        </is>
      </c>
      <c r="C180" s="3" t="inlineStr">
        <is>
          <t>Aracaju</t>
        </is>
      </c>
      <c r="D180" s="2" t="inlineStr">
        <is>
          <t>SE</t>
        </is>
      </c>
      <c r="E180" s="3" t="inlineStr">
        <is>
          <t>Atalaia</t>
        </is>
      </c>
      <c r="F180" s="4" t="inlineStr">
        <is>
          <t>abrir</t>
        </is>
      </c>
      <c r="G180" s="2" t="inlineStr"/>
      <c r="H180" s="5" t="n"/>
      <c r="I180" s="6" t="n"/>
      <c r="J180" s="2">
        <f>IF(I180="","",IF(I180&gt;=300,"Alta",IF(I180&gt;=100,"Média","Baixa")))</f>
        <v/>
      </c>
      <c r="K180" s="7" t="n"/>
      <c r="L180" s="7" t="n"/>
      <c r="M180" s="7" t="n"/>
      <c r="N180" s="8" t="n"/>
      <c r="O180" s="9">
        <f>IF(N180="","",N180*'Como usar'!$C$6)</f>
        <v/>
      </c>
      <c r="P180" s="10" t="n"/>
      <c r="Q180" s="11" t="n"/>
      <c r="R180" s="11" t="n"/>
      <c r="S180" s="11" t="n"/>
      <c r="T180" s="7" t="n"/>
      <c r="U180" s="7" t="n"/>
    </row>
    <row r="181">
      <c r="A181" s="2" t="n">
        <v>180</v>
      </c>
      <c r="B181" s="3" t="inlineStr">
        <is>
          <t>Churras Burguer</t>
        </is>
      </c>
      <c r="C181" s="3" t="inlineStr">
        <is>
          <t>Aracaju</t>
        </is>
      </c>
      <c r="D181" s="2" t="inlineStr">
        <is>
          <t>SE</t>
        </is>
      </c>
      <c r="E181" s="3" t="inlineStr">
        <is>
          <t>Aeroporto</t>
        </is>
      </c>
      <c r="F181" s="4" t="inlineStr">
        <is>
          <t>abrir</t>
        </is>
      </c>
      <c r="G181" s="2" t="inlineStr"/>
      <c r="H181" s="5" t="n"/>
      <c r="I181" s="6" t="n"/>
      <c r="J181" s="2">
        <f>IF(I181="","",IF(I181&gt;=300,"Alta",IF(I181&gt;=100,"Média","Baixa")))</f>
        <v/>
      </c>
      <c r="K181" s="7" t="n"/>
      <c r="L181" s="7" t="n"/>
      <c r="M181" s="7" t="n"/>
      <c r="N181" s="8" t="n"/>
      <c r="O181" s="9">
        <f>IF(N181="","",N181*'Como usar'!$C$6)</f>
        <v/>
      </c>
      <c r="P181" s="10" t="n"/>
      <c r="Q181" s="11" t="n"/>
      <c r="R181" s="11" t="n"/>
      <c r="S181" s="11" t="n"/>
      <c r="T181" s="7" t="n"/>
      <c r="U181" s="7" t="n"/>
    </row>
    <row r="182">
      <c r="A182" s="2" t="n">
        <v>181</v>
      </c>
      <c r="B182" s="3" t="inlineStr">
        <is>
          <t>Hamburgueria Brothers Burguer</t>
        </is>
      </c>
      <c r="C182" s="3" t="inlineStr">
        <is>
          <t>Aracaju</t>
        </is>
      </c>
      <c r="D182" s="2" t="inlineStr">
        <is>
          <t>SE</t>
        </is>
      </c>
      <c r="E182" s="3" t="inlineStr">
        <is>
          <t>Coroa do Meio</t>
        </is>
      </c>
      <c r="F182" s="4" t="inlineStr">
        <is>
          <t>abrir</t>
        </is>
      </c>
      <c r="G182" s="2" t="inlineStr"/>
      <c r="H182" s="5" t="n"/>
      <c r="I182" s="6" t="n"/>
      <c r="J182" s="2">
        <f>IF(I182="","",IF(I182&gt;=300,"Alta",IF(I182&gt;=100,"Média","Baixa")))</f>
        <v/>
      </c>
      <c r="K182" s="7" t="n"/>
      <c r="L182" s="7" t="n"/>
      <c r="M182" s="7" t="n"/>
      <c r="N182" s="8" t="n"/>
      <c r="O182" s="9">
        <f>IF(N182="","",N182*'Como usar'!$C$6)</f>
        <v/>
      </c>
      <c r="P182" s="10" t="n"/>
      <c r="Q182" s="11" t="n"/>
      <c r="R182" s="11" t="n"/>
      <c r="S182" s="11" t="n"/>
      <c r="T182" s="7" t="n"/>
      <c r="U182" s="7" t="n"/>
    </row>
    <row r="183">
      <c r="A183" s="2" t="n">
        <v>182</v>
      </c>
      <c r="B183" s="3" t="inlineStr">
        <is>
          <t>Hamburgueria Johnny Smash Burger Luzia</t>
        </is>
      </c>
      <c r="C183" s="3" t="inlineStr">
        <is>
          <t>Aracaju</t>
        </is>
      </c>
      <c r="D183" s="2" t="inlineStr">
        <is>
          <t>SE</t>
        </is>
      </c>
      <c r="E183" s="3" t="inlineStr">
        <is>
          <t>Luzia</t>
        </is>
      </c>
      <c r="F183" s="4" t="inlineStr">
        <is>
          <t>abrir</t>
        </is>
      </c>
      <c r="G183" s="2" t="inlineStr">
        <is>
          <t>Sim</t>
        </is>
      </c>
      <c r="H183" s="5" t="n"/>
      <c r="I183" s="6" t="n"/>
      <c r="J183" s="2">
        <f>IF(I183="","",IF(I183&gt;=300,"Alta",IF(I183&gt;=100,"Média","Baixa")))</f>
        <v/>
      </c>
      <c r="K183" s="7" t="n"/>
      <c r="L183" s="7" t="n"/>
      <c r="M183" s="7" t="n"/>
      <c r="N183" s="8" t="n"/>
      <c r="O183" s="9">
        <f>IF(N183="","",N183*'Como usar'!$C$6)</f>
        <v/>
      </c>
      <c r="P183" s="10" t="n"/>
      <c r="Q183" s="11" t="n"/>
      <c r="R183" s="11" t="n"/>
      <c r="S183" s="11" t="n"/>
      <c r="T183" s="7" t="n"/>
      <c r="U183" s="7" t="n"/>
    </row>
    <row r="184">
      <c r="A184" s="2" t="n">
        <v>183</v>
      </c>
      <c r="B184" s="3" t="inlineStr">
        <is>
          <t>Hamburgueria Scape Burger</t>
        </is>
      </c>
      <c r="C184" s="3" t="inlineStr">
        <is>
          <t>Aracaju</t>
        </is>
      </c>
      <c r="D184" s="2" t="inlineStr">
        <is>
          <t>SE</t>
        </is>
      </c>
      <c r="E184" s="3" t="inlineStr">
        <is>
          <t>Jabotiana</t>
        </is>
      </c>
      <c r="F184" s="4" t="inlineStr">
        <is>
          <t>abrir</t>
        </is>
      </c>
      <c r="G184" s="2" t="inlineStr"/>
      <c r="H184" s="5" t="n"/>
      <c r="I184" s="6" t="n"/>
      <c r="J184" s="2">
        <f>IF(I184="","",IF(I184&gt;=300,"Alta",IF(I184&gt;=100,"Média","Baixa")))</f>
        <v/>
      </c>
      <c r="K184" s="7" t="n"/>
      <c r="L184" s="7" t="n"/>
      <c r="M184" s="7" t="n"/>
      <c r="N184" s="8" t="n"/>
      <c r="O184" s="9">
        <f>IF(N184="","",N184*'Como usar'!$C$6)</f>
        <v/>
      </c>
      <c r="P184" s="10" t="n"/>
      <c r="Q184" s="11" t="n"/>
      <c r="R184" s="11" t="n"/>
      <c r="S184" s="11" t="n"/>
      <c r="T184" s="7" t="n"/>
      <c r="U184" s="7" t="n"/>
    </row>
    <row r="185">
      <c r="A185" s="2" t="n">
        <v>184</v>
      </c>
      <c r="B185" s="3" t="inlineStr">
        <is>
          <t>Revo Burger</t>
        </is>
      </c>
      <c r="C185" s="3" t="inlineStr">
        <is>
          <t>Aracaju</t>
        </is>
      </c>
      <c r="D185" s="2" t="inlineStr">
        <is>
          <t>SE</t>
        </is>
      </c>
      <c r="E185" s="3" t="inlineStr">
        <is>
          <t>13 de Julho</t>
        </is>
      </c>
      <c r="F185" s="4" t="inlineStr">
        <is>
          <t>abrir</t>
        </is>
      </c>
      <c r="G185" s="2" t="inlineStr"/>
      <c r="H185" s="5" t="n"/>
      <c r="I185" s="6" t="n"/>
      <c r="J185" s="2">
        <f>IF(I185="","",IF(I185&gt;=300,"Alta",IF(I185&gt;=100,"Média","Baixa")))</f>
        <v/>
      </c>
      <c r="K185" s="7" t="n"/>
      <c r="L185" s="7" t="n"/>
      <c r="M185" s="7" t="n"/>
      <c r="N185" s="8" t="n"/>
      <c r="O185" s="9">
        <f>IF(N185="","",N185*'Como usar'!$C$6)</f>
        <v/>
      </c>
      <c r="P185" s="10" t="n"/>
      <c r="Q185" s="11" t="n"/>
      <c r="R185" s="11" t="n"/>
      <c r="S185" s="11" t="n"/>
      <c r="T185" s="7" t="n"/>
      <c r="U185" s="7" t="n"/>
    </row>
    <row r="186">
      <c r="A186" s="2" t="n">
        <v>185</v>
      </c>
      <c r="B186" s="3" t="inlineStr">
        <is>
          <t>The Sandwich – Suíça – Hambúrguer Smash Artesanal</t>
        </is>
      </c>
      <c r="C186" s="3" t="inlineStr">
        <is>
          <t>Aracaju</t>
        </is>
      </c>
      <c r="D186" s="2" t="inlineStr">
        <is>
          <t>SE</t>
        </is>
      </c>
      <c r="E186" s="3" t="inlineStr">
        <is>
          <t>Suíssa</t>
        </is>
      </c>
      <c r="F186" s="4" t="inlineStr">
        <is>
          <t>abrir</t>
        </is>
      </c>
      <c r="G186" s="2" t="inlineStr"/>
      <c r="H186" s="5" t="n"/>
      <c r="I186" s="6" t="n"/>
      <c r="J186" s="2">
        <f>IF(I186="","",IF(I186&gt;=300,"Alta",IF(I186&gt;=100,"Média","Baixa")))</f>
        <v/>
      </c>
      <c r="K186" s="7" t="n"/>
      <c r="L186" s="7" t="n"/>
      <c r="M186" s="7" t="n"/>
      <c r="N186" s="8" t="n"/>
      <c r="O186" s="9">
        <f>IF(N186="","",N186*'Como usar'!$C$6)</f>
        <v/>
      </c>
      <c r="P186" s="10" t="n"/>
      <c r="Q186" s="11" t="n"/>
      <c r="R186" s="11" t="n"/>
      <c r="S186" s="11" t="n"/>
      <c r="T186" s="7" t="n"/>
      <c r="U186" s="7" t="n"/>
    </row>
    <row r="187">
      <c r="A187" s="2" t="n">
        <v>186</v>
      </c>
      <c r="B187" s="3" t="inlineStr">
        <is>
          <t>Hamburgueria Apê Burguer</t>
        </is>
      </c>
      <c r="C187" s="3" t="inlineStr">
        <is>
          <t>Araras</t>
        </is>
      </c>
      <c r="D187" s="2" t="inlineStr">
        <is>
          <t>SP</t>
        </is>
      </c>
      <c r="E187" s="3" t="inlineStr">
        <is>
          <t>Vila Pastorello</t>
        </is>
      </c>
      <c r="F187" s="4" t="inlineStr">
        <is>
          <t>abrir</t>
        </is>
      </c>
      <c r="G187" s="2" t="inlineStr"/>
      <c r="H187" s="5" t="n"/>
      <c r="I187" s="6" t="n"/>
      <c r="J187" s="2">
        <f>IF(I187="","",IF(I187&gt;=300,"Alta",IF(I187&gt;=100,"Média","Baixa")))</f>
        <v/>
      </c>
      <c r="K187" s="7" t="n"/>
      <c r="L187" s="7" t="n"/>
      <c r="M187" s="7" t="n"/>
      <c r="N187" s="8" t="n"/>
      <c r="O187" s="9">
        <f>IF(N187="","",N187*'Como usar'!$C$6)</f>
        <v/>
      </c>
      <c r="P187" s="10" t="n"/>
      <c r="Q187" s="11" t="n"/>
      <c r="R187" s="11" t="n"/>
      <c r="S187" s="11" t="n"/>
      <c r="T187" s="7" t="n"/>
      <c r="U187" s="7" t="n"/>
    </row>
    <row r="188">
      <c r="A188" s="2" t="n">
        <v>187</v>
      </c>
      <c r="B188" s="3" t="inlineStr">
        <is>
          <t>Butcher Super Smash</t>
        </is>
      </c>
      <c r="C188" s="3" t="inlineStr">
        <is>
          <t>Campinas</t>
        </is>
      </c>
      <c r="D188" s="2" t="inlineStr">
        <is>
          <t>SP</t>
        </is>
      </c>
      <c r="E188" s="3" t="inlineStr">
        <is>
          <t>Cambuí</t>
        </is>
      </c>
      <c r="F188" s="4" t="inlineStr">
        <is>
          <t>abrir</t>
        </is>
      </c>
      <c r="G188" s="2" t="inlineStr"/>
      <c r="H188" s="5" t="n"/>
      <c r="I188" s="6" t="n"/>
      <c r="J188" s="2">
        <f>IF(I188="","",IF(I188&gt;=300,"Alta",IF(I188&gt;=100,"Média","Baixa")))</f>
        <v/>
      </c>
      <c r="K188" s="7" t="n"/>
      <c r="L188" s="7" t="n"/>
      <c r="M188" s="7" t="n"/>
      <c r="N188" s="8" t="n"/>
      <c r="O188" s="9">
        <f>IF(N188="","",N188*'Como usar'!$C$6)</f>
        <v/>
      </c>
      <c r="P188" s="10" t="n"/>
      <c r="Q188" s="11" t="n"/>
      <c r="R188" s="11" t="n"/>
      <c r="S188" s="11" t="n"/>
      <c r="T188" s="7" t="n"/>
      <c r="U188" s="7" t="n"/>
    </row>
    <row r="189">
      <c r="A189" s="2" t="n">
        <v>188</v>
      </c>
      <c r="B189" s="3" t="inlineStr">
        <is>
          <t>Cunhados Burger - Hamburgueria Artesanal</t>
        </is>
      </c>
      <c r="C189" s="3" t="inlineStr">
        <is>
          <t>Campinas</t>
        </is>
      </c>
      <c r="D189" s="2" t="inlineStr">
        <is>
          <t>SP</t>
        </is>
      </c>
      <c r="E189" s="3" t="inlineStr">
        <is>
          <t>Vila Aeroporto I</t>
        </is>
      </c>
      <c r="F189" s="4" t="inlineStr">
        <is>
          <t>abrir</t>
        </is>
      </c>
      <c r="G189" s="2" t="inlineStr"/>
      <c r="H189" s="5" t="n"/>
      <c r="I189" s="6" t="n"/>
      <c r="J189" s="2">
        <f>IF(I189="","",IF(I189&gt;=300,"Alta",IF(I189&gt;=100,"Média","Baixa")))</f>
        <v/>
      </c>
      <c r="K189" s="7" t="n"/>
      <c r="L189" s="7" t="n"/>
      <c r="M189" s="7" t="n"/>
      <c r="N189" s="8" t="n"/>
      <c r="O189" s="9">
        <f>IF(N189="","",N189*'Como usar'!$C$6)</f>
        <v/>
      </c>
      <c r="P189" s="10" t="n"/>
      <c r="Q189" s="11" t="n"/>
      <c r="R189" s="11" t="n"/>
      <c r="S189" s="11" t="n"/>
      <c r="T189" s="7" t="n"/>
      <c r="U189" s="7" t="n"/>
    </row>
    <row r="190">
      <c r="A190" s="2" t="n">
        <v>189</v>
      </c>
      <c r="B190" s="3" t="inlineStr">
        <is>
          <t>Hamburgueria Mirantes Burger</t>
        </is>
      </c>
      <c r="C190" s="3" t="inlineStr">
        <is>
          <t>Campinas</t>
        </is>
      </c>
      <c r="D190" s="2" t="inlineStr">
        <is>
          <t>SP</t>
        </is>
      </c>
      <c r="E190" s="3" t="inlineStr">
        <is>
          <t>Centro</t>
        </is>
      </c>
      <c r="F190" s="4" t="inlineStr">
        <is>
          <t>abrir</t>
        </is>
      </c>
      <c r="G190" s="2" t="inlineStr"/>
      <c r="H190" s="5" t="n"/>
      <c r="I190" s="6" t="n"/>
      <c r="J190" s="2">
        <f>IF(I190="","",IF(I190&gt;=300,"Alta",IF(I190&gt;=100,"Média","Baixa")))</f>
        <v/>
      </c>
      <c r="K190" s="7" t="n"/>
      <c r="L190" s="7" t="n"/>
      <c r="M190" s="7" t="n"/>
      <c r="N190" s="8" t="n"/>
      <c r="O190" s="9">
        <f>IF(N190="","",N190*'Como usar'!$C$6)</f>
        <v/>
      </c>
      <c r="P190" s="10" t="n"/>
      <c r="Q190" s="11" t="n"/>
      <c r="R190" s="11" t="n"/>
      <c r="S190" s="11" t="n"/>
      <c r="T190" s="7" t="n"/>
      <c r="U190" s="7" t="n"/>
    </row>
    <row r="191">
      <c r="A191" s="2" t="n">
        <v>190</v>
      </c>
      <c r="B191" s="3" t="inlineStr">
        <is>
          <t>Hamburgueria Tosco Garage</t>
        </is>
      </c>
      <c r="C191" s="3" t="inlineStr">
        <is>
          <t>Campinas</t>
        </is>
      </c>
      <c r="D191" s="2" t="inlineStr">
        <is>
          <t>SP</t>
        </is>
      </c>
      <c r="E191" s="3" t="inlineStr">
        <is>
          <t>Jardim Garcia</t>
        </is>
      </c>
      <c r="F191" s="4" t="inlineStr">
        <is>
          <t>abrir</t>
        </is>
      </c>
      <c r="G191" s="2" t="inlineStr"/>
      <c r="H191" s="5" t="n"/>
      <c r="I191" s="6" t="n"/>
      <c r="J191" s="2">
        <f>IF(I191="","",IF(I191&gt;=300,"Alta",IF(I191&gt;=100,"Média","Baixa")))</f>
        <v/>
      </c>
      <c r="K191" s="7" t="n"/>
      <c r="L191" s="7" t="n"/>
      <c r="M191" s="7" t="n"/>
      <c r="N191" s="8" t="n"/>
      <c r="O191" s="9">
        <f>IF(N191="","",N191*'Como usar'!$C$6)</f>
        <v/>
      </c>
      <c r="P191" s="10" t="n"/>
      <c r="Q191" s="11" t="n"/>
      <c r="R191" s="11" t="n"/>
      <c r="S191" s="11" t="n"/>
      <c r="T191" s="7" t="n"/>
      <c r="U191" s="7" t="n"/>
    </row>
    <row r="192">
      <c r="A192" s="2" t="n">
        <v>191</v>
      </c>
      <c r="B192" s="3" t="inlineStr">
        <is>
          <t>Mister Chapa Burger e Smash</t>
        </is>
      </c>
      <c r="C192" s="3" t="inlineStr">
        <is>
          <t>Campinas</t>
        </is>
      </c>
      <c r="D192" s="2" t="inlineStr">
        <is>
          <t>SP</t>
        </is>
      </c>
      <c r="E192" s="3" t="inlineStr">
        <is>
          <t>Taquaral</t>
        </is>
      </c>
      <c r="F192" s="4" t="inlineStr">
        <is>
          <t>abrir</t>
        </is>
      </c>
      <c r="G192" s="2" t="inlineStr"/>
      <c r="H192" s="5" t="n"/>
      <c r="I192" s="6" t="n"/>
      <c r="J192" s="2">
        <f>IF(I192="","",IF(I192&gt;=300,"Alta",IF(I192&gt;=100,"Média","Baixa")))</f>
        <v/>
      </c>
      <c r="K192" s="7" t="n"/>
      <c r="L192" s="7" t="n"/>
      <c r="M192" s="7" t="n"/>
      <c r="N192" s="8" t="n"/>
      <c r="O192" s="9">
        <f>IF(N192="","",N192*'Como usar'!$C$6)</f>
        <v/>
      </c>
      <c r="P192" s="10" t="n"/>
      <c r="Q192" s="11" t="n"/>
      <c r="R192" s="11" t="n"/>
      <c r="S192" s="11" t="n"/>
      <c r="T192" s="7" t="n"/>
      <c r="U192" s="7" t="n"/>
    </row>
    <row r="193">
      <c r="A193" s="2" t="n">
        <v>192</v>
      </c>
      <c r="B193" s="3" t="inlineStr">
        <is>
          <t>Smash B. Burger - Taquaral</t>
        </is>
      </c>
      <c r="C193" s="3" t="inlineStr">
        <is>
          <t>Campinas</t>
        </is>
      </c>
      <c r="D193" s="2" t="inlineStr">
        <is>
          <t>SP</t>
        </is>
      </c>
      <c r="E193" s="3" t="inlineStr">
        <is>
          <t>Jardim Nossa Senhora Auxiliadora</t>
        </is>
      </c>
      <c r="F193" s="4" t="inlineStr">
        <is>
          <t>abrir</t>
        </is>
      </c>
      <c r="G193" s="2" t="inlineStr"/>
      <c r="H193" s="5" t="n"/>
      <c r="I193" s="6" t="n"/>
      <c r="J193" s="2">
        <f>IF(I193="","",IF(I193&gt;=300,"Alta",IF(I193&gt;=100,"Média","Baixa")))</f>
        <v/>
      </c>
      <c r="K193" s="7" t="n"/>
      <c r="L193" s="7" t="n"/>
      <c r="M193" s="7" t="n"/>
      <c r="N193" s="8" t="n"/>
      <c r="O193" s="9">
        <f>IF(N193="","",N193*'Como usar'!$C$6)</f>
        <v/>
      </c>
      <c r="P193" s="10" t="n"/>
      <c r="Q193" s="11" t="n"/>
      <c r="R193" s="11" t="n"/>
      <c r="S193" s="11" t="n"/>
      <c r="T193" s="7" t="n"/>
      <c r="U193" s="7" t="n"/>
    </row>
    <row r="194">
      <c r="A194" s="2" t="n">
        <v>193</v>
      </c>
      <c r="B194" s="3" t="inlineStr">
        <is>
          <t>Smash Boss Hamburgueria</t>
        </is>
      </c>
      <c r="C194" s="3" t="inlineStr">
        <is>
          <t>Campinas</t>
        </is>
      </c>
      <c r="D194" s="2" t="inlineStr">
        <is>
          <t>SP</t>
        </is>
      </c>
      <c r="E194" s="3" t="inlineStr">
        <is>
          <t>Taquaral</t>
        </is>
      </c>
      <c r="F194" s="4" t="inlineStr">
        <is>
          <t>abrir</t>
        </is>
      </c>
      <c r="G194" s="2" t="inlineStr"/>
      <c r="H194" s="5" t="n"/>
      <c r="I194" s="6" t="n"/>
      <c r="J194" s="2">
        <f>IF(I194="","",IF(I194&gt;=300,"Alta",IF(I194&gt;=100,"Média","Baixa")))</f>
        <v/>
      </c>
      <c r="K194" s="7" t="n"/>
      <c r="L194" s="7" t="n"/>
      <c r="M194" s="7" t="n"/>
      <c r="N194" s="8" t="n"/>
      <c r="O194" s="9">
        <f>IF(N194="","",N194*'Como usar'!$C$6)</f>
        <v/>
      </c>
      <c r="P194" s="10" t="n"/>
      <c r="Q194" s="11" t="n"/>
      <c r="R194" s="11" t="n"/>
      <c r="S194" s="11" t="n"/>
      <c r="T194" s="7" t="n"/>
      <c r="U194" s="7" t="n"/>
    </row>
    <row r="195">
      <c r="A195" s="2" t="n">
        <v>194</v>
      </c>
      <c r="B195" s="3" t="inlineStr">
        <is>
          <t>Tesla Smash Burger</t>
        </is>
      </c>
      <c r="C195" s="3" t="inlineStr">
        <is>
          <t>Campinas</t>
        </is>
      </c>
      <c r="D195" s="2" t="inlineStr">
        <is>
          <t>SP</t>
        </is>
      </c>
      <c r="E195" s="3" t="inlineStr">
        <is>
          <t>Parque Taquaral</t>
        </is>
      </c>
      <c r="F195" s="4" t="inlineStr">
        <is>
          <t>abrir</t>
        </is>
      </c>
      <c r="G195" s="2" t="inlineStr"/>
      <c r="H195" s="5" t="n"/>
      <c r="I195" s="6" t="n"/>
      <c r="J195" s="2">
        <f>IF(I195="","",IF(I195&gt;=300,"Alta",IF(I195&gt;=100,"Média","Baixa")))</f>
        <v/>
      </c>
      <c r="K195" s="7" t="n"/>
      <c r="L195" s="7" t="n"/>
      <c r="M195" s="7" t="n"/>
      <c r="N195" s="8" t="n"/>
      <c r="O195" s="9">
        <f>IF(N195="","",N195*'Como usar'!$C$6)</f>
        <v/>
      </c>
      <c r="P195" s="10" t="n"/>
      <c r="Q195" s="11" t="n"/>
      <c r="R195" s="11" t="n"/>
      <c r="S195" s="11" t="n"/>
      <c r="T195" s="7" t="n"/>
      <c r="U195" s="7" t="n"/>
    </row>
    <row r="196">
      <c r="A196" s="2" t="n">
        <v>195</v>
      </c>
      <c r="B196" s="3" t="inlineStr">
        <is>
          <t>Rota 66 Burger</t>
        </is>
      </c>
      <c r="C196" s="3" t="inlineStr">
        <is>
          <t>Franco da Rocha</t>
        </is>
      </c>
      <c r="D196" s="2" t="inlineStr">
        <is>
          <t>SP</t>
        </is>
      </c>
      <c r="E196" s="3" t="inlineStr">
        <is>
          <t>Estância Lago Azul</t>
        </is>
      </c>
      <c r="F196" s="4" t="inlineStr">
        <is>
          <t>abrir</t>
        </is>
      </c>
      <c r="G196" s="2" t="inlineStr"/>
      <c r="H196" s="5" t="n"/>
      <c r="I196" s="6" t="n"/>
      <c r="J196" s="2">
        <f>IF(I196="","",IF(I196&gt;=300,"Alta",IF(I196&gt;=100,"Média","Baixa")))</f>
        <v/>
      </c>
      <c r="K196" s="7" t="n"/>
      <c r="L196" s="7" t="n"/>
      <c r="M196" s="7" t="n"/>
      <c r="N196" s="8" t="n"/>
      <c r="O196" s="9">
        <f>IF(N196="","",N196*'Como usar'!$C$6)</f>
        <v/>
      </c>
      <c r="P196" s="10" t="n"/>
      <c r="Q196" s="11" t="n"/>
      <c r="R196" s="11" t="n"/>
      <c r="S196" s="11" t="n"/>
      <c r="T196" s="7" t="n"/>
      <c r="U196" s="7" t="n"/>
    </row>
    <row r="197">
      <c r="A197" s="2" t="n">
        <v>196</v>
      </c>
      <c r="B197" s="3" t="inlineStr">
        <is>
          <t>Burger Grill (bg Lorena)</t>
        </is>
      </c>
      <c r="C197" s="3" t="inlineStr">
        <is>
          <t>Lorena</t>
        </is>
      </c>
      <c r="D197" s="2" t="inlineStr">
        <is>
          <t>SP</t>
        </is>
      </c>
      <c r="E197" s="3" t="inlineStr">
        <is>
          <t>Vila Nunes</t>
        </is>
      </c>
      <c r="F197" s="4" t="inlineStr">
        <is>
          <t>abrir</t>
        </is>
      </c>
      <c r="G197" s="2" t="inlineStr"/>
      <c r="H197" s="5" t="n"/>
      <c r="I197" s="6" t="n"/>
      <c r="J197" s="2">
        <f>IF(I197="","",IF(I197&gt;=300,"Alta",IF(I197&gt;=100,"Média","Baixa")))</f>
        <v/>
      </c>
      <c r="K197" s="7" t="n"/>
      <c r="L197" s="7" t="n"/>
      <c r="M197" s="7" t="n"/>
      <c r="N197" s="8" t="n"/>
      <c r="O197" s="9">
        <f>IF(N197="","",N197*'Como usar'!$C$6)</f>
        <v/>
      </c>
      <c r="P197" s="10" t="n"/>
      <c r="Q197" s="11" t="n"/>
      <c r="R197" s="11" t="n"/>
      <c r="S197" s="11" t="n"/>
      <c r="T197" s="7" t="n"/>
      <c r="U197" s="7" t="n"/>
    </row>
    <row r="198">
      <c r="A198" s="2" t="n">
        <v>197</v>
      </c>
      <c r="B198" s="3" t="inlineStr">
        <is>
          <t>Berro Burguer Hamburgueria</t>
        </is>
      </c>
      <c r="C198" s="3" t="inlineStr">
        <is>
          <t>Ribeirão Preto</t>
        </is>
      </c>
      <c r="D198" s="2" t="inlineStr">
        <is>
          <t>SP</t>
        </is>
      </c>
      <c r="E198" s="3" t="inlineStr">
        <is>
          <t>Centro</t>
        </is>
      </c>
      <c r="F198" s="4" t="inlineStr">
        <is>
          <t>abrir</t>
        </is>
      </c>
      <c r="G198" s="2" t="inlineStr"/>
      <c r="H198" s="5" t="n"/>
      <c r="I198" s="6" t="n"/>
      <c r="J198" s="2">
        <f>IF(I198="","",IF(I198&gt;=300,"Alta",IF(I198&gt;=100,"Média","Baixa")))</f>
        <v/>
      </c>
      <c r="K198" s="7" t="n"/>
      <c r="L198" s="7" t="n"/>
      <c r="M198" s="7" t="n"/>
      <c r="N198" s="8" t="n"/>
      <c r="O198" s="9">
        <f>IF(N198="","",N198*'Como usar'!$C$6)</f>
        <v/>
      </c>
      <c r="P198" s="10" t="n"/>
      <c r="Q198" s="11" t="n"/>
      <c r="R198" s="11" t="n"/>
      <c r="S198" s="11" t="n"/>
      <c r="T198" s="7" t="n"/>
      <c r="U198" s="7" t="n"/>
    </row>
    <row r="199">
      <c r="A199" s="2" t="n">
        <v>198</v>
      </c>
      <c r="B199" s="3" t="inlineStr">
        <is>
          <t>Dex Hamburgueria - Burger Artesanal</t>
        </is>
      </c>
      <c r="C199" s="3" t="inlineStr">
        <is>
          <t>Ribeirão Preto</t>
        </is>
      </c>
      <c r="D199" s="2" t="inlineStr">
        <is>
          <t>SP</t>
        </is>
      </c>
      <c r="E199" s="3" t="inlineStr">
        <is>
          <t>Independência</t>
        </is>
      </c>
      <c r="F199" s="4" t="inlineStr">
        <is>
          <t>abrir</t>
        </is>
      </c>
      <c r="G199" s="2" t="inlineStr"/>
      <c r="H199" s="5" t="n"/>
      <c r="I199" s="6" t="n"/>
      <c r="J199" s="2">
        <f>IF(I199="","",IF(I199&gt;=300,"Alta",IF(I199&gt;=100,"Média","Baixa")))</f>
        <v/>
      </c>
      <c r="K199" s="7" t="n"/>
      <c r="L199" s="7" t="n"/>
      <c r="M199" s="7" t="n"/>
      <c r="N199" s="8" t="n"/>
      <c r="O199" s="9">
        <f>IF(N199="","",N199*'Como usar'!$C$6)</f>
        <v/>
      </c>
      <c r="P199" s="10" t="n"/>
      <c r="Q199" s="11" t="n"/>
      <c r="R199" s="11" t="n"/>
      <c r="S199" s="11" t="n"/>
      <c r="T199" s="7" t="n"/>
      <c r="U199" s="7" t="n"/>
    </row>
    <row r="200">
      <c r="A200" s="2" t="n">
        <v>199</v>
      </c>
      <c r="B200" s="3" t="inlineStr">
        <is>
          <t>Jambs Burger (Hambúrguer Smash)</t>
        </is>
      </c>
      <c r="C200" s="3" t="inlineStr">
        <is>
          <t>Ribeirão Preto</t>
        </is>
      </c>
      <c r="D200" s="2" t="inlineStr">
        <is>
          <t>SP</t>
        </is>
      </c>
      <c r="E200" s="3" t="inlineStr">
        <is>
          <t>Parque Ribeirao Preto</t>
        </is>
      </c>
      <c r="F200" s="4" t="inlineStr">
        <is>
          <t>abrir</t>
        </is>
      </c>
      <c r="G200" s="2" t="inlineStr"/>
      <c r="H200" s="5" t="n"/>
      <c r="I200" s="6" t="n"/>
      <c r="J200" s="2">
        <f>IF(I200="","",IF(I200&gt;=300,"Alta",IF(I200&gt;=100,"Média","Baixa")))</f>
        <v/>
      </c>
      <c r="K200" s="7" t="n"/>
      <c r="L200" s="7" t="n"/>
      <c r="M200" s="7" t="n"/>
      <c r="N200" s="8" t="n"/>
      <c r="O200" s="9">
        <f>IF(N200="","",N200*'Como usar'!$C$6)</f>
        <v/>
      </c>
      <c r="P200" s="10" t="n"/>
      <c r="Q200" s="11" t="n"/>
      <c r="R200" s="11" t="n"/>
      <c r="S200" s="11" t="n"/>
      <c r="T200" s="7" t="n"/>
      <c r="U200" s="7" t="n"/>
    </row>
    <row r="201">
      <c r="A201" s="2" t="n">
        <v>200</v>
      </c>
      <c r="B201" s="3" t="inlineStr">
        <is>
          <t>New York Smash Burger</t>
        </is>
      </c>
      <c r="C201" s="3" t="inlineStr">
        <is>
          <t>Ribeirão Preto</t>
        </is>
      </c>
      <c r="D201" s="2" t="inlineStr">
        <is>
          <t>SP</t>
        </is>
      </c>
      <c r="E201" s="3" t="inlineStr">
        <is>
          <t>Vila Virgínia</t>
        </is>
      </c>
      <c r="F201" s="4" t="inlineStr">
        <is>
          <t>abrir</t>
        </is>
      </c>
      <c r="G201" s="2" t="inlineStr"/>
      <c r="H201" s="5" t="n"/>
      <c r="I201" s="6" t="n"/>
      <c r="J201" s="2">
        <f>IF(I201="","",IF(I201&gt;=300,"Alta",IF(I201&gt;=100,"Média","Baixa")))</f>
        <v/>
      </c>
      <c r="K201" s="7" t="n"/>
      <c r="L201" s="7" t="n"/>
      <c r="M201" s="7" t="n"/>
      <c r="N201" s="8" t="n"/>
      <c r="O201" s="9">
        <f>IF(N201="","",N201*'Como usar'!$C$6)</f>
        <v/>
      </c>
      <c r="P201" s="10" t="n"/>
      <c r="Q201" s="11" t="n"/>
      <c r="R201" s="11" t="n"/>
      <c r="S201" s="11" t="n"/>
      <c r="T201" s="7" t="n"/>
      <c r="U201" s="7" t="n"/>
    </row>
    <row r="202">
      <c r="A202" s="2" t="n">
        <v>201</v>
      </c>
      <c r="B202" s="3" t="inlineStr">
        <is>
          <t>Punch Smash Burger - Ribeirão Preto</t>
        </is>
      </c>
      <c r="C202" s="3" t="inlineStr">
        <is>
          <t>Ribeirão Preto</t>
        </is>
      </c>
      <c r="D202" s="2" t="inlineStr">
        <is>
          <t>SP</t>
        </is>
      </c>
      <c r="E202" s="3" t="inlineStr">
        <is>
          <t>Alto da Boa Vista</t>
        </is>
      </c>
      <c r="F202" s="4" t="inlineStr">
        <is>
          <t>abrir</t>
        </is>
      </c>
      <c r="G202" s="2" t="inlineStr">
        <is>
          <t>Sim</t>
        </is>
      </c>
      <c r="H202" s="5" t="n"/>
      <c r="I202" s="6" t="n"/>
      <c r="J202" s="2">
        <f>IF(I202="","",IF(I202&gt;=300,"Alta",IF(I202&gt;=100,"Média","Baixa")))</f>
        <v/>
      </c>
      <c r="K202" s="7" t="n"/>
      <c r="L202" s="7" t="n"/>
      <c r="M202" s="7" t="n"/>
      <c r="N202" s="8" t="n"/>
      <c r="O202" s="9">
        <f>IF(N202="","",N202*'Como usar'!$C$6)</f>
        <v/>
      </c>
      <c r="P202" s="10" t="n"/>
      <c r="Q202" s="11" t="n"/>
      <c r="R202" s="11" t="n"/>
      <c r="S202" s="11" t="n"/>
      <c r="T202" s="7" t="n"/>
      <c r="U202" s="7" t="n"/>
    </row>
    <row r="203">
      <c r="A203" s="2" t="n">
        <v>202</v>
      </c>
      <c r="B203" s="3" t="inlineStr">
        <is>
          <t>Smash Burger (Centro RP)</t>
        </is>
      </c>
      <c r="C203" s="3" t="inlineStr">
        <is>
          <t>Ribeirão Preto</t>
        </is>
      </c>
      <c r="D203" s="2" t="inlineStr">
        <is>
          <t>SP</t>
        </is>
      </c>
      <c r="E203" s="3" t="inlineStr">
        <is>
          <t>Centro</t>
        </is>
      </c>
      <c r="F203" s="4" t="inlineStr">
        <is>
          <t>abrir</t>
        </is>
      </c>
      <c r="G203" s="2" t="inlineStr"/>
      <c r="H203" s="5" t="n"/>
      <c r="I203" s="6" t="n"/>
      <c r="J203" s="2">
        <f>IF(I203="","",IF(I203&gt;=300,"Alta",IF(I203&gt;=100,"Média","Baixa")))</f>
        <v/>
      </c>
      <c r="K203" s="7" t="n"/>
      <c r="L203" s="7" t="n"/>
      <c r="M203" s="7" t="n"/>
      <c r="N203" s="8" t="n"/>
      <c r="O203" s="9">
        <f>IF(N203="","",N203*'Como usar'!$C$6)</f>
        <v/>
      </c>
      <c r="P203" s="10" t="n"/>
      <c r="Q203" s="11" t="n"/>
      <c r="R203" s="11" t="n"/>
      <c r="S203" s="11" t="n"/>
      <c r="T203" s="7" t="n"/>
      <c r="U203" s="7" t="n"/>
    </row>
    <row r="204">
      <c r="A204" s="2" t="n">
        <v>203</v>
      </c>
      <c r="B204" s="3" t="inlineStr">
        <is>
          <t>SMASH.THE.KING - Hamburgueria</t>
        </is>
      </c>
      <c r="C204" s="3" t="inlineStr">
        <is>
          <t>Ribeirão Preto</t>
        </is>
      </c>
      <c r="D204" s="2" t="inlineStr">
        <is>
          <t>SP</t>
        </is>
      </c>
      <c r="E204" s="3" t="inlineStr">
        <is>
          <t>Jardim Interlagos</t>
        </is>
      </c>
      <c r="F204" s="4" t="inlineStr">
        <is>
          <t>abrir</t>
        </is>
      </c>
      <c r="G204" s="2" t="inlineStr"/>
      <c r="H204" s="5" t="n"/>
      <c r="I204" s="6" t="n"/>
      <c r="J204" s="2">
        <f>IF(I204="","",IF(I204&gt;=300,"Alta",IF(I204&gt;=100,"Média","Baixa")))</f>
        <v/>
      </c>
      <c r="K204" s="7" t="n"/>
      <c r="L204" s="7" t="n"/>
      <c r="M204" s="7" t="n"/>
      <c r="N204" s="8" t="n"/>
      <c r="O204" s="9">
        <f>IF(N204="","",N204*'Como usar'!$C$6)</f>
        <v/>
      </c>
      <c r="P204" s="10" t="n"/>
      <c r="Q204" s="11" t="n"/>
      <c r="R204" s="11" t="n"/>
      <c r="S204" s="11" t="n"/>
      <c r="T204" s="7" t="n"/>
      <c r="U204" s="7" t="n"/>
    </row>
    <row r="205">
      <c r="A205" s="2" t="n">
        <v>204</v>
      </c>
      <c r="B205" s="3" t="inlineStr">
        <is>
          <t>Tasca Burger - Hamburgueria</t>
        </is>
      </c>
      <c r="C205" s="3" t="inlineStr">
        <is>
          <t>Ribeirão Preto</t>
        </is>
      </c>
      <c r="D205" s="2" t="inlineStr">
        <is>
          <t>SP</t>
        </is>
      </c>
      <c r="E205" s="3" t="inlineStr">
        <is>
          <t>Jardim Sumaré</t>
        </is>
      </c>
      <c r="F205" s="4" t="inlineStr">
        <is>
          <t>abrir</t>
        </is>
      </c>
      <c r="G205" s="2" t="inlineStr"/>
      <c r="H205" s="5" t="n"/>
      <c r="I205" s="6" t="n"/>
      <c r="J205" s="2">
        <f>IF(I205="","",IF(I205&gt;=300,"Alta",IF(I205&gt;=100,"Média","Baixa")))</f>
        <v/>
      </c>
      <c r="K205" s="7" t="n"/>
      <c r="L205" s="7" t="n"/>
      <c r="M205" s="7" t="n"/>
      <c r="N205" s="8" t="n"/>
      <c r="O205" s="9">
        <f>IF(N205="","",N205*'Como usar'!$C$6)</f>
        <v/>
      </c>
      <c r="P205" s="10" t="n"/>
      <c r="Q205" s="11" t="n"/>
      <c r="R205" s="11" t="n"/>
      <c r="S205" s="11" t="n"/>
      <c r="T205" s="7" t="n"/>
      <c r="U205" s="7" t="n"/>
    </row>
    <row r="206">
      <c r="A206" s="2" t="n">
        <v>205</v>
      </c>
      <c r="B206" s="3" t="inlineStr">
        <is>
          <t>Bom Beef Burgers Hamburgueria</t>
        </is>
      </c>
      <c r="C206" s="3" t="inlineStr">
        <is>
          <t>Santo André</t>
        </is>
      </c>
      <c r="D206" s="2" t="inlineStr">
        <is>
          <t>SP</t>
        </is>
      </c>
      <c r="E206" s="3" t="inlineStr">
        <is>
          <t>Jardim</t>
        </is>
      </c>
      <c r="F206" s="4" t="inlineStr">
        <is>
          <t>abrir</t>
        </is>
      </c>
      <c r="G206" s="2" t="inlineStr"/>
      <c r="H206" s="5" t="n"/>
      <c r="I206" s="6" t="n"/>
      <c r="J206" s="2">
        <f>IF(I206="","",IF(I206&gt;=300,"Alta",IF(I206&gt;=100,"Média","Baixa")))</f>
        <v/>
      </c>
      <c r="K206" s="7" t="n"/>
      <c r="L206" s="7" t="n"/>
      <c r="M206" s="7" t="n"/>
      <c r="N206" s="8" t="n"/>
      <c r="O206" s="9">
        <f>IF(N206="","",N206*'Como usar'!$C$6)</f>
        <v/>
      </c>
      <c r="P206" s="10" t="n"/>
      <c r="Q206" s="11" t="n"/>
      <c r="R206" s="11" t="n"/>
      <c r="S206" s="11" t="n"/>
      <c r="T206" s="7" t="n"/>
      <c r="U206" s="7" t="n"/>
    </row>
    <row r="207">
      <c r="A207" s="2" t="n">
        <v>206</v>
      </c>
      <c r="B207" s="3" t="inlineStr">
        <is>
          <t>Hamburgueria T-Burgerz</t>
        </is>
      </c>
      <c r="C207" s="3" t="inlineStr">
        <is>
          <t>São Bernardo do Campo</t>
        </is>
      </c>
      <c r="D207" s="2" t="inlineStr">
        <is>
          <t>SP</t>
        </is>
      </c>
      <c r="E207" s="3" t="inlineStr">
        <is>
          <t>Jardim Independência</t>
        </is>
      </c>
      <c r="F207" s="4" t="inlineStr">
        <is>
          <t>abrir</t>
        </is>
      </c>
      <c r="G207" s="2" t="inlineStr"/>
      <c r="H207" s="5" t="n"/>
      <c r="I207" s="6" t="n"/>
      <c r="J207" s="2">
        <f>IF(I207="","",IF(I207&gt;=300,"Alta",IF(I207&gt;=100,"Média","Baixa")))</f>
        <v/>
      </c>
      <c r="K207" s="7" t="n"/>
      <c r="L207" s="7" t="n"/>
      <c r="M207" s="7" t="n"/>
      <c r="N207" s="8" t="n"/>
      <c r="O207" s="9">
        <f>IF(N207="","",N207*'Como usar'!$C$6)</f>
        <v/>
      </c>
      <c r="P207" s="10" t="n"/>
      <c r="Q207" s="11" t="n"/>
      <c r="R207" s="11" t="n"/>
      <c r="S207" s="11" t="n"/>
      <c r="T207" s="7" t="n"/>
      <c r="U207" s="7" t="n"/>
    </row>
    <row r="208">
      <c r="A208" s="2" t="n">
        <v>207</v>
      </c>
      <c r="B208" s="3" t="inlineStr">
        <is>
          <t>Burger Time - Hamburgueria Lanches &amp; Dog</t>
        </is>
      </c>
      <c r="C208" s="3" t="inlineStr">
        <is>
          <t>São João da Boa Vista</t>
        </is>
      </c>
      <c r="D208" s="2" t="inlineStr">
        <is>
          <t>SP</t>
        </is>
      </c>
      <c r="E208" s="3" t="inlineStr">
        <is>
          <t>Vila Brasil</t>
        </is>
      </c>
      <c r="F208" s="4" t="inlineStr">
        <is>
          <t>abrir</t>
        </is>
      </c>
      <c r="G208" s="2" t="inlineStr"/>
      <c r="H208" s="5" t="n"/>
      <c r="I208" s="6" t="n"/>
      <c r="J208" s="2">
        <f>IF(I208="","",IF(I208&gt;=300,"Alta",IF(I208&gt;=100,"Média","Baixa")))</f>
        <v/>
      </c>
      <c r="K208" s="7" t="n"/>
      <c r="L208" s="7" t="n"/>
      <c r="M208" s="7" t="n"/>
      <c r="N208" s="8" t="n"/>
      <c r="O208" s="9">
        <f>IF(N208="","",N208*'Como usar'!$C$6)</f>
        <v/>
      </c>
      <c r="P208" s="10" t="n"/>
      <c r="Q208" s="11" t="n"/>
      <c r="R208" s="11" t="n"/>
      <c r="S208" s="11" t="n"/>
      <c r="T208" s="7" t="n"/>
      <c r="U208" s="7" t="n"/>
    </row>
    <row r="209">
      <c r="A209" s="2" t="n">
        <v>208</v>
      </c>
      <c r="B209" s="3" t="inlineStr">
        <is>
          <t>Garden Gourmet Hamburgueria</t>
        </is>
      </c>
      <c r="C209" s="3" t="inlineStr">
        <is>
          <t>São João da Boa Vista</t>
        </is>
      </c>
      <c r="D209" s="2" t="inlineStr">
        <is>
          <t>SP</t>
        </is>
      </c>
      <c r="E209" s="3" t="inlineStr">
        <is>
          <t>São Lázaro</t>
        </is>
      </c>
      <c r="F209" s="4" t="inlineStr">
        <is>
          <t>abrir</t>
        </is>
      </c>
      <c r="G209" s="2" t="inlineStr"/>
      <c r="H209" s="5" t="n"/>
      <c r="I209" s="6" t="n"/>
      <c r="J209" s="2">
        <f>IF(I209="","",IF(I209&gt;=300,"Alta",IF(I209&gt;=100,"Média","Baixa")))</f>
        <v/>
      </c>
      <c r="K209" s="7" t="n"/>
      <c r="L209" s="7" t="n"/>
      <c r="M209" s="7" t="n"/>
      <c r="N209" s="8" t="n"/>
      <c r="O209" s="9">
        <f>IF(N209="","",N209*'Como usar'!$C$6)</f>
        <v/>
      </c>
      <c r="P209" s="10" t="n"/>
      <c r="Q209" s="11" t="n"/>
      <c r="R209" s="11" t="n"/>
      <c r="S209" s="11" t="n"/>
      <c r="T209" s="7" t="n"/>
      <c r="U209" s="7" t="n"/>
    </row>
    <row r="210">
      <c r="A210" s="2" t="n">
        <v>209</v>
      </c>
      <c r="B210" s="3" t="inlineStr">
        <is>
          <t>Brothers Prime - Hamburgueria Artesanal</t>
        </is>
      </c>
      <c r="C210" s="3" t="inlineStr">
        <is>
          <t>São Paulo</t>
        </is>
      </c>
      <c r="D210" s="2" t="inlineStr">
        <is>
          <t>SP</t>
        </is>
      </c>
      <c r="E210" s="3" t="inlineStr">
        <is>
          <t>Vila Mascote</t>
        </is>
      </c>
      <c r="F210" s="4" t="inlineStr">
        <is>
          <t>abrir</t>
        </is>
      </c>
      <c r="G210" s="2" t="inlineStr"/>
      <c r="H210" s="5" t="n"/>
      <c r="I210" s="6" t="n"/>
      <c r="J210" s="2">
        <f>IF(I210="","",IF(I210&gt;=300,"Alta",IF(I210&gt;=100,"Média","Baixa")))</f>
        <v/>
      </c>
      <c r="K210" s="7" t="n"/>
      <c r="L210" s="7" t="n"/>
      <c r="M210" s="7" t="n"/>
      <c r="N210" s="8" t="n"/>
      <c r="O210" s="9">
        <f>IF(N210="","",N210*'Como usar'!$C$6)</f>
        <v/>
      </c>
      <c r="P210" s="10" t="n"/>
      <c r="Q210" s="11" t="n"/>
      <c r="R210" s="11" t="n"/>
      <c r="S210" s="11" t="n"/>
      <c r="T210" s="7" t="n"/>
      <c r="U210" s="7" t="n"/>
    </row>
    <row r="211">
      <c r="A211" s="2" t="n">
        <v>210</v>
      </c>
      <c r="B211" s="3" t="inlineStr">
        <is>
          <t>Burger's House - Hamburgueria Artesanal</t>
        </is>
      </c>
      <c r="C211" s="3" t="inlineStr">
        <is>
          <t>São Paulo</t>
        </is>
      </c>
      <c r="D211" s="2" t="inlineStr">
        <is>
          <t>SP</t>
        </is>
      </c>
      <c r="E211" s="3" t="inlineStr">
        <is>
          <t>Mooca</t>
        </is>
      </c>
      <c r="F211" s="4" t="inlineStr">
        <is>
          <t>abrir</t>
        </is>
      </c>
      <c r="G211" s="2" t="inlineStr"/>
      <c r="H211" s="5" t="n"/>
      <c r="I211" s="6" t="n"/>
      <c r="J211" s="2">
        <f>IF(I211="","",IF(I211&gt;=300,"Alta",IF(I211&gt;=100,"Média","Baixa")))</f>
        <v/>
      </c>
      <c r="K211" s="7" t="n"/>
      <c r="L211" s="7" t="n"/>
      <c r="M211" s="7" t="n"/>
      <c r="N211" s="8" t="n"/>
      <c r="O211" s="9">
        <f>IF(N211="","",N211*'Como usar'!$C$6)</f>
        <v/>
      </c>
      <c r="P211" s="10" t="n"/>
      <c r="Q211" s="11" t="n"/>
      <c r="R211" s="11" t="n"/>
      <c r="S211" s="11" t="n"/>
      <c r="T211" s="7" t="n"/>
      <c r="U211" s="7" t="n"/>
    </row>
    <row r="212">
      <c r="A212" s="2" t="n">
        <v>211</v>
      </c>
      <c r="B212" s="3" t="inlineStr">
        <is>
          <t>Dinos Smash Burger - Hamburgueria</t>
        </is>
      </c>
      <c r="C212" s="3" t="inlineStr">
        <is>
          <t>São Paulo</t>
        </is>
      </c>
      <c r="D212" s="2" t="inlineStr">
        <is>
          <t>SP</t>
        </is>
      </c>
      <c r="E212" s="3" t="inlineStr">
        <is>
          <t>Chácara Belenzinho</t>
        </is>
      </c>
      <c r="F212" s="4" t="inlineStr">
        <is>
          <t>abrir</t>
        </is>
      </c>
      <c r="G212" s="2" t="inlineStr"/>
      <c r="H212" s="5" t="n"/>
      <c r="I212" s="6" t="n"/>
      <c r="J212" s="2">
        <f>IF(I212="","",IF(I212&gt;=300,"Alta",IF(I212&gt;=100,"Média","Baixa")))</f>
        <v/>
      </c>
      <c r="K212" s="7" t="n"/>
      <c r="L212" s="7" t="n"/>
      <c r="M212" s="7" t="n"/>
      <c r="N212" s="8" t="n"/>
      <c r="O212" s="9">
        <f>IF(N212="","",N212*'Como usar'!$C$6)</f>
        <v/>
      </c>
      <c r="P212" s="10" t="n"/>
      <c r="Q212" s="11" t="n"/>
      <c r="R212" s="11" t="n"/>
      <c r="S212" s="11" t="n"/>
      <c r="T212" s="7" t="n"/>
      <c r="U212" s="7" t="n"/>
    </row>
    <row r="213">
      <c r="A213" s="2" t="n">
        <v>212</v>
      </c>
      <c r="B213" s="3" t="inlineStr">
        <is>
          <t>Guimis Burguer - Tatuapé</t>
        </is>
      </c>
      <c r="C213" s="3" t="inlineStr">
        <is>
          <t>São Paulo</t>
        </is>
      </c>
      <c r="D213" s="2" t="inlineStr">
        <is>
          <t>SP</t>
        </is>
      </c>
      <c r="E213" s="3" t="inlineStr">
        <is>
          <t>Vila Regente Feijó</t>
        </is>
      </c>
      <c r="F213" s="4" t="inlineStr">
        <is>
          <t>abrir</t>
        </is>
      </c>
      <c r="G213" s="2" t="inlineStr"/>
      <c r="H213" s="5" t="n"/>
      <c r="I213" s="6" t="n"/>
      <c r="J213" s="2">
        <f>IF(I213="","",IF(I213&gt;=300,"Alta",IF(I213&gt;=100,"Média","Baixa")))</f>
        <v/>
      </c>
      <c r="K213" s="7" t="n"/>
      <c r="L213" s="7" t="n"/>
      <c r="M213" s="7" t="n"/>
      <c r="N213" s="8" t="n"/>
      <c r="O213" s="9">
        <f>IF(N213="","",N213*'Como usar'!$C$6)</f>
        <v/>
      </c>
      <c r="P213" s="10" t="n"/>
      <c r="Q213" s="11" t="n"/>
      <c r="R213" s="11" t="n"/>
      <c r="S213" s="11" t="n"/>
      <c r="T213" s="7" t="n"/>
      <c r="U213" s="7" t="n"/>
    </row>
    <row r="214">
      <c r="A214" s="2" t="n">
        <v>213</v>
      </c>
      <c r="B214" s="3" t="inlineStr">
        <is>
          <t>Hamburgueria 6019 Australian Burger</t>
        </is>
      </c>
      <c r="C214" s="3" t="inlineStr">
        <is>
          <t>São Paulo</t>
        </is>
      </c>
      <c r="D214" s="2" t="inlineStr">
        <is>
          <t>SP</t>
        </is>
      </c>
      <c r="E214" s="3" t="inlineStr">
        <is>
          <t>Carandiru</t>
        </is>
      </c>
      <c r="F214" s="4" t="inlineStr">
        <is>
          <t>abrir</t>
        </is>
      </c>
      <c r="G214" s="2" t="inlineStr"/>
      <c r="H214" s="5" t="n"/>
      <c r="I214" s="6" t="n"/>
      <c r="J214" s="2">
        <f>IF(I214="","",IF(I214&gt;=300,"Alta",IF(I214&gt;=100,"Média","Baixa")))</f>
        <v/>
      </c>
      <c r="K214" s="7" t="n"/>
      <c r="L214" s="7" t="n"/>
      <c r="M214" s="7" t="n"/>
      <c r="N214" s="8" t="n"/>
      <c r="O214" s="9">
        <f>IF(N214="","",N214*'Como usar'!$C$6)</f>
        <v/>
      </c>
      <c r="P214" s="10" t="n"/>
      <c r="Q214" s="11" t="n"/>
      <c r="R214" s="11" t="n"/>
      <c r="S214" s="11" t="n"/>
      <c r="T214" s="7" t="n"/>
      <c r="U214" s="7" t="n"/>
    </row>
    <row r="215">
      <c r="A215" s="2" t="n">
        <v>214</v>
      </c>
      <c r="B215" s="3" t="inlineStr">
        <is>
          <t>Hamburgueria Artesanal - Smash Burger</t>
        </is>
      </c>
      <c r="C215" s="3" t="inlineStr">
        <is>
          <t>São Paulo</t>
        </is>
      </c>
      <c r="D215" s="2" t="inlineStr">
        <is>
          <t>SP</t>
        </is>
      </c>
      <c r="E215" s="3" t="inlineStr">
        <is>
          <t>Jardim da Pedreira</t>
        </is>
      </c>
      <c r="F215" s="4" t="inlineStr">
        <is>
          <t>abrir</t>
        </is>
      </c>
      <c r="G215" s="2" t="inlineStr"/>
      <c r="H215" s="5" t="n"/>
      <c r="I215" s="6" t="n"/>
      <c r="J215" s="2">
        <f>IF(I215="","",IF(I215&gt;=300,"Alta",IF(I215&gt;=100,"Média","Baixa")))</f>
        <v/>
      </c>
      <c r="K215" s="7" t="n"/>
      <c r="L215" s="7" t="n"/>
      <c r="M215" s="7" t="n"/>
      <c r="N215" s="8" t="n"/>
      <c r="O215" s="9">
        <f>IF(N215="","",N215*'Como usar'!$C$6)</f>
        <v/>
      </c>
      <c r="P215" s="10" t="n"/>
      <c r="Q215" s="11" t="n"/>
      <c r="R215" s="11" t="n"/>
      <c r="S215" s="11" t="n"/>
      <c r="T215" s="7" t="n"/>
      <c r="U215" s="7" t="n"/>
    </row>
    <row r="216">
      <c r="A216" s="2" t="n">
        <v>215</v>
      </c>
      <c r="B216" s="3" t="inlineStr">
        <is>
          <t>Hamburgueria Burgão Zona Leste</t>
        </is>
      </c>
      <c r="C216" s="3" t="inlineStr">
        <is>
          <t>São Paulo</t>
        </is>
      </c>
      <c r="D216" s="2" t="inlineStr">
        <is>
          <t>SP</t>
        </is>
      </c>
      <c r="E216" s="3" t="inlineStr">
        <is>
          <t>Parque Paulistano</t>
        </is>
      </c>
      <c r="F216" s="4" t="inlineStr">
        <is>
          <t>abrir</t>
        </is>
      </c>
      <c r="G216" s="2" t="inlineStr"/>
      <c r="H216" s="5" t="n"/>
      <c r="I216" s="6" t="n"/>
      <c r="J216" s="2">
        <f>IF(I216="","",IF(I216&gt;=300,"Alta",IF(I216&gt;=100,"Média","Baixa")))</f>
        <v/>
      </c>
      <c r="K216" s="7" t="n"/>
      <c r="L216" s="7" t="n"/>
      <c r="M216" s="7" t="n"/>
      <c r="N216" s="8" t="n"/>
      <c r="O216" s="9">
        <f>IF(N216="","",N216*'Como usar'!$C$6)</f>
        <v/>
      </c>
      <c r="P216" s="10" t="n"/>
      <c r="Q216" s="11" t="n"/>
      <c r="R216" s="11" t="n"/>
      <c r="S216" s="11" t="n"/>
      <c r="T216" s="7" t="n"/>
      <c r="U216" s="7" t="n"/>
    </row>
    <row r="217">
      <c r="A217" s="2" t="n">
        <v>216</v>
      </c>
      <c r="B217" s="3" t="inlineStr">
        <is>
          <t>Hamburgueria Johnny Smash Burger Brás</t>
        </is>
      </c>
      <c r="C217" s="3" t="inlineStr">
        <is>
          <t>São Paulo</t>
        </is>
      </c>
      <c r="D217" s="2" t="inlineStr">
        <is>
          <t>SP</t>
        </is>
      </c>
      <c r="E217" s="3" t="inlineStr">
        <is>
          <t>Canindé</t>
        </is>
      </c>
      <c r="F217" s="4" t="inlineStr">
        <is>
          <t>abrir</t>
        </is>
      </c>
      <c r="G217" s="2" t="inlineStr">
        <is>
          <t>Sim</t>
        </is>
      </c>
      <c r="H217" s="5" t="n"/>
      <c r="I217" s="6" t="n"/>
      <c r="J217" s="2">
        <f>IF(I217="","",IF(I217&gt;=300,"Alta",IF(I217&gt;=100,"Média","Baixa")))</f>
        <v/>
      </c>
      <c r="K217" s="7" t="n"/>
      <c r="L217" s="7" t="n"/>
      <c r="M217" s="7" t="n"/>
      <c r="N217" s="8" t="n"/>
      <c r="O217" s="9">
        <f>IF(N217="","",N217*'Como usar'!$C$6)</f>
        <v/>
      </c>
      <c r="P217" s="10" t="n"/>
      <c r="Q217" s="11" t="n"/>
      <c r="R217" s="11" t="n"/>
      <c r="S217" s="11" t="n"/>
      <c r="T217" s="7" t="n"/>
      <c r="U217" s="7" t="n"/>
    </row>
    <row r="218">
      <c r="A218" s="2" t="n">
        <v>217</v>
      </c>
      <c r="B218" s="3" t="inlineStr">
        <is>
          <t>Hamburgueria TAG Burger</t>
        </is>
      </c>
      <c r="C218" s="3" t="inlineStr">
        <is>
          <t>São Paulo</t>
        </is>
      </c>
      <c r="D218" s="2" t="inlineStr">
        <is>
          <t>SP</t>
        </is>
      </c>
      <c r="E218" s="3" t="inlineStr">
        <is>
          <t>Paraíso</t>
        </is>
      </c>
      <c r="F218" s="4" t="inlineStr">
        <is>
          <t>abrir</t>
        </is>
      </c>
      <c r="G218" s="2" t="inlineStr"/>
      <c r="H218" s="5" t="n"/>
      <c r="I218" s="6" t="n"/>
      <c r="J218" s="2">
        <f>IF(I218="","",IF(I218&gt;=300,"Alta",IF(I218&gt;=100,"Média","Baixa")))</f>
        <v/>
      </c>
      <c r="K218" s="7" t="n"/>
      <c r="L218" s="7" t="n"/>
      <c r="M218" s="7" t="n"/>
      <c r="N218" s="8" t="n"/>
      <c r="O218" s="9">
        <f>IF(N218="","",N218*'Como usar'!$C$6)</f>
        <v/>
      </c>
      <c r="P218" s="10" t="n"/>
      <c r="Q218" s="11" t="n"/>
      <c r="R218" s="11" t="n"/>
      <c r="S218" s="11" t="n"/>
      <c r="T218" s="7" t="n"/>
      <c r="U218" s="7" t="n"/>
    </row>
    <row r="219">
      <c r="A219" s="2" t="n">
        <v>218</v>
      </c>
      <c r="B219" s="3" t="inlineStr">
        <is>
          <t>Hamburgueria Tradi Tatuapé</t>
        </is>
      </c>
      <c r="C219" s="3" t="inlineStr">
        <is>
          <t>São Paulo</t>
        </is>
      </c>
      <c r="D219" s="2" t="inlineStr">
        <is>
          <t>SP</t>
        </is>
      </c>
      <c r="E219" s="3" t="inlineStr">
        <is>
          <t>Vila Gomes Cardim</t>
        </is>
      </c>
      <c r="F219" s="4" t="inlineStr">
        <is>
          <t>abrir</t>
        </is>
      </c>
      <c r="G219" s="2" t="inlineStr"/>
      <c r="H219" s="5" t="n"/>
      <c r="I219" s="6" t="n"/>
      <c r="J219" s="2">
        <f>IF(I219="","",IF(I219&gt;=300,"Alta",IF(I219&gt;=100,"Média","Baixa")))</f>
        <v/>
      </c>
      <c r="K219" s="7" t="n"/>
      <c r="L219" s="7" t="n"/>
      <c r="M219" s="7" t="n"/>
      <c r="N219" s="8" t="n"/>
      <c r="O219" s="9">
        <f>IF(N219="","",N219*'Como usar'!$C$6)</f>
        <v/>
      </c>
      <c r="P219" s="10" t="n"/>
      <c r="Q219" s="11" t="n"/>
      <c r="R219" s="11" t="n"/>
      <c r="S219" s="11" t="n"/>
      <c r="T219" s="7" t="n"/>
      <c r="U219" s="7" t="n"/>
    </row>
    <row r="220">
      <c r="A220" s="2" t="n">
        <v>219</v>
      </c>
      <c r="B220" s="3" t="inlineStr">
        <is>
          <t>Hambúrgueria Zé Burguer</t>
        </is>
      </c>
      <c r="C220" s="3" t="inlineStr">
        <is>
          <t>São Paulo</t>
        </is>
      </c>
      <c r="D220" s="2" t="inlineStr">
        <is>
          <t>SP</t>
        </is>
      </c>
      <c r="E220" s="3" t="inlineStr">
        <is>
          <t>Jardim Brasília (Zona Leste)</t>
        </is>
      </c>
      <c r="F220" s="4" t="inlineStr">
        <is>
          <t>abrir</t>
        </is>
      </c>
      <c r="G220" s="2" t="inlineStr"/>
      <c r="H220" s="5" t="n"/>
      <c r="I220" s="6" t="n"/>
      <c r="J220" s="2">
        <f>IF(I220="","",IF(I220&gt;=300,"Alta",IF(I220&gt;=100,"Média","Baixa")))</f>
        <v/>
      </c>
      <c r="K220" s="7" t="n"/>
      <c r="L220" s="7" t="n"/>
      <c r="M220" s="7" t="n"/>
      <c r="N220" s="8" t="n"/>
      <c r="O220" s="9">
        <f>IF(N220="","",N220*'Como usar'!$C$6)</f>
        <v/>
      </c>
      <c r="P220" s="10" t="n"/>
      <c r="Q220" s="11" t="n"/>
      <c r="R220" s="11" t="n"/>
      <c r="S220" s="11" t="n"/>
      <c r="T220" s="7" t="n"/>
      <c r="U220" s="7" t="n"/>
    </row>
    <row r="221">
      <c r="A221" s="2" t="n">
        <v>220</v>
      </c>
      <c r="B221" s="3" t="inlineStr">
        <is>
          <t>Holy Smash Burguer</t>
        </is>
      </c>
      <c r="C221" s="3" t="inlineStr">
        <is>
          <t>São Paulo</t>
        </is>
      </c>
      <c r="D221" s="2" t="inlineStr">
        <is>
          <t>SP</t>
        </is>
      </c>
      <c r="E221" s="3" t="inlineStr">
        <is>
          <t>Vila Bertioga</t>
        </is>
      </c>
      <c r="F221" s="4" t="inlineStr">
        <is>
          <t>abrir</t>
        </is>
      </c>
      <c r="G221" s="2" t="inlineStr"/>
      <c r="H221" s="5" t="n"/>
      <c r="I221" s="6" t="n"/>
      <c r="J221" s="2">
        <f>IF(I221="","",IF(I221&gt;=300,"Alta",IF(I221&gt;=100,"Média","Baixa")))</f>
        <v/>
      </c>
      <c r="K221" s="7" t="n"/>
      <c r="L221" s="7" t="n"/>
      <c r="M221" s="7" t="n"/>
      <c r="N221" s="8" t="n"/>
      <c r="O221" s="9">
        <f>IF(N221="","",N221*'Como usar'!$C$6)</f>
        <v/>
      </c>
      <c r="P221" s="10" t="n"/>
      <c r="Q221" s="11" t="n"/>
      <c r="R221" s="11" t="n"/>
      <c r="S221" s="11" t="n"/>
      <c r="T221" s="7" t="n"/>
      <c r="U221" s="7" t="n"/>
    </row>
    <row r="222">
      <c r="A222" s="2" t="n">
        <v>221</v>
      </c>
      <c r="B222" s="3" t="inlineStr">
        <is>
          <t>John's Burguer Mooca</t>
        </is>
      </c>
      <c r="C222" s="3" t="inlineStr">
        <is>
          <t>São Paulo</t>
        </is>
      </c>
      <c r="D222" s="2" t="inlineStr">
        <is>
          <t>SP</t>
        </is>
      </c>
      <c r="E222" s="3" t="inlineStr">
        <is>
          <t>Alto da Mooca</t>
        </is>
      </c>
      <c r="F222" s="4" t="inlineStr">
        <is>
          <t>abrir</t>
        </is>
      </c>
      <c r="G222" s="2" t="inlineStr"/>
      <c r="H222" s="5" t="n"/>
      <c r="I222" s="6" t="n"/>
      <c r="J222" s="2">
        <f>IF(I222="","",IF(I222&gt;=300,"Alta",IF(I222&gt;=100,"Média","Baixa")))</f>
        <v/>
      </c>
      <c r="K222" s="7" t="n"/>
      <c r="L222" s="7" t="n"/>
      <c r="M222" s="7" t="n"/>
      <c r="N222" s="8" t="n"/>
      <c r="O222" s="9">
        <f>IF(N222="","",N222*'Como usar'!$C$6)</f>
        <v/>
      </c>
      <c r="P222" s="10" t="n"/>
      <c r="Q222" s="11" t="n"/>
      <c r="R222" s="11" t="n"/>
      <c r="S222" s="11" t="n"/>
      <c r="T222" s="7" t="n"/>
      <c r="U222" s="7" t="n"/>
    </row>
    <row r="223">
      <c r="A223" s="2" t="n">
        <v>222</v>
      </c>
      <c r="B223" s="3" t="inlineStr">
        <is>
          <t>Los Burger - Hamburgueria Artesanal</t>
        </is>
      </c>
      <c r="C223" s="3" t="inlineStr">
        <is>
          <t>São Paulo</t>
        </is>
      </c>
      <c r="D223" s="2" t="inlineStr">
        <is>
          <t>SP</t>
        </is>
      </c>
      <c r="E223" s="3" t="inlineStr">
        <is>
          <t>Jardim Paulista</t>
        </is>
      </c>
      <c r="F223" s="4" t="inlineStr">
        <is>
          <t>abrir</t>
        </is>
      </c>
      <c r="G223" s="2" t="inlineStr"/>
      <c r="H223" s="5" t="n"/>
      <c r="I223" s="6" t="n"/>
      <c r="J223" s="2">
        <f>IF(I223="","",IF(I223&gt;=300,"Alta",IF(I223&gt;=100,"Média","Baixa")))</f>
        <v/>
      </c>
      <c r="K223" s="7" t="n"/>
      <c r="L223" s="7" t="n"/>
      <c r="M223" s="7" t="n"/>
      <c r="N223" s="8" t="n"/>
      <c r="O223" s="9">
        <f>IF(N223="","",N223*'Como usar'!$C$6)</f>
        <v/>
      </c>
      <c r="P223" s="10" t="n"/>
      <c r="Q223" s="11" t="n"/>
      <c r="R223" s="11" t="n"/>
      <c r="S223" s="11" t="n"/>
      <c r="T223" s="7" t="n"/>
      <c r="U223" s="7" t="n"/>
    </row>
    <row r="224">
      <c r="A224" s="2" t="n">
        <v>223</v>
      </c>
      <c r="B224" s="3" t="inlineStr">
        <is>
          <t>Six Burgers Mooca</t>
        </is>
      </c>
      <c r="C224" s="3" t="inlineStr">
        <is>
          <t>São Paulo</t>
        </is>
      </c>
      <c r="D224" s="2" t="inlineStr">
        <is>
          <t>SP</t>
        </is>
      </c>
      <c r="E224" s="3" t="inlineStr">
        <is>
          <t>Vila Cláudia</t>
        </is>
      </c>
      <c r="F224" s="4" t="inlineStr">
        <is>
          <t>abrir</t>
        </is>
      </c>
      <c r="G224" s="2" t="inlineStr"/>
      <c r="H224" s="5" t="n"/>
      <c r="I224" s="6" t="n"/>
      <c r="J224" s="2">
        <f>IF(I224="","",IF(I224&gt;=300,"Alta",IF(I224&gt;=100,"Média","Baixa")))</f>
        <v/>
      </c>
      <c r="K224" s="7" t="n"/>
      <c r="L224" s="7" t="n"/>
      <c r="M224" s="7" t="n"/>
      <c r="N224" s="8" t="n"/>
      <c r="O224" s="9">
        <f>IF(N224="","",N224*'Como usar'!$C$6)</f>
        <v/>
      </c>
      <c r="P224" s="10" t="n"/>
      <c r="Q224" s="11" t="n"/>
      <c r="R224" s="11" t="n"/>
      <c r="S224" s="11" t="n"/>
      <c r="T224" s="7" t="n"/>
      <c r="U224" s="7" t="n"/>
    </row>
    <row r="225">
      <c r="A225" s="2" t="n">
        <v>224</v>
      </c>
      <c r="B225" s="3" t="inlineStr">
        <is>
          <t>Smash &amp; Burguer Letz</t>
        </is>
      </c>
      <c r="C225" s="3" t="inlineStr">
        <is>
          <t>São Paulo</t>
        </is>
      </c>
      <c r="D225" s="2" t="inlineStr">
        <is>
          <t>SP</t>
        </is>
      </c>
      <c r="E225" s="3" t="inlineStr">
        <is>
          <t>Pinheiros</t>
        </is>
      </c>
      <c r="F225" s="4" t="inlineStr">
        <is>
          <t>abrir</t>
        </is>
      </c>
      <c r="G225" s="2" t="inlineStr"/>
      <c r="H225" s="5" t="n"/>
      <c r="I225" s="6" t="n"/>
      <c r="J225" s="2">
        <f>IF(I225="","",IF(I225&gt;=300,"Alta",IF(I225&gt;=100,"Média","Baixa")))</f>
        <v/>
      </c>
      <c r="K225" s="7" t="n"/>
      <c r="L225" s="7" t="n"/>
      <c r="M225" s="7" t="n"/>
      <c r="N225" s="8" t="n"/>
      <c r="O225" s="9">
        <f>IF(N225="","",N225*'Como usar'!$C$6)</f>
        <v/>
      </c>
      <c r="P225" s="10" t="n"/>
      <c r="Q225" s="11" t="n"/>
      <c r="R225" s="11" t="n"/>
      <c r="S225" s="11" t="n"/>
      <c r="T225" s="7" t="n"/>
      <c r="U225" s="7" t="n"/>
    </row>
    <row r="226">
      <c r="A226" s="2" t="n">
        <v>225</v>
      </c>
      <c r="B226" s="3" t="inlineStr">
        <is>
          <t>Smash Burger</t>
        </is>
      </c>
      <c r="C226" s="3" t="inlineStr">
        <is>
          <t>São Paulo</t>
        </is>
      </c>
      <c r="D226" s="2" t="inlineStr">
        <is>
          <t>SP</t>
        </is>
      </c>
      <c r="E226" s="3" t="inlineStr">
        <is>
          <t>Vila Aurora (Zona Norte)</t>
        </is>
      </c>
      <c r="F226" s="4" t="inlineStr">
        <is>
          <t>abrir</t>
        </is>
      </c>
      <c r="G226" s="2" t="inlineStr"/>
      <c r="H226" s="5" t="n"/>
      <c r="I226" s="6" t="n"/>
      <c r="J226" s="2">
        <f>IF(I226="","",IF(I226&gt;=300,"Alta",IF(I226&gt;=100,"Média","Baixa")))</f>
        <v/>
      </c>
      <c r="K226" s="7" t="n"/>
      <c r="L226" s="7" t="n"/>
      <c r="M226" s="7" t="n"/>
      <c r="N226" s="8" t="n"/>
      <c r="O226" s="9">
        <f>IF(N226="","",N226*'Como usar'!$C$6)</f>
        <v/>
      </c>
      <c r="P226" s="10" t="n"/>
      <c r="Q226" s="11" t="n"/>
      <c r="R226" s="11" t="n"/>
      <c r="S226" s="11" t="n"/>
      <c r="T226" s="7" t="n"/>
      <c r="U226" s="7" t="n"/>
    </row>
    <row r="227">
      <c r="A227" s="2" t="n">
        <v>226</v>
      </c>
      <c r="B227" s="3" t="inlineStr">
        <is>
          <t>Smash Burger O Artesao</t>
        </is>
      </c>
      <c r="C227" s="3" t="inlineStr">
        <is>
          <t>São Paulo</t>
        </is>
      </c>
      <c r="D227" s="2" t="inlineStr">
        <is>
          <t>SP</t>
        </is>
      </c>
      <c r="E227" s="3" t="inlineStr">
        <is>
          <t>Vila Marari</t>
        </is>
      </c>
      <c r="F227" s="4" t="inlineStr">
        <is>
          <t>abrir</t>
        </is>
      </c>
      <c r="G227" s="2" t="inlineStr"/>
      <c r="H227" s="5" t="n"/>
      <c r="I227" s="6" t="n"/>
      <c r="J227" s="2">
        <f>IF(I227="","",IF(I227&gt;=300,"Alta",IF(I227&gt;=100,"Média","Baixa")))</f>
        <v/>
      </c>
      <c r="K227" s="7" t="n"/>
      <c r="L227" s="7" t="n"/>
      <c r="M227" s="7" t="n"/>
      <c r="N227" s="8" t="n"/>
      <c r="O227" s="9">
        <f>IF(N227="","",N227*'Como usar'!$C$6)</f>
        <v/>
      </c>
      <c r="P227" s="10" t="n"/>
      <c r="Q227" s="11" t="n"/>
      <c r="R227" s="11" t="n"/>
      <c r="S227" s="11" t="n"/>
      <c r="T227" s="7" t="n"/>
      <c r="U227" s="7" t="n"/>
    </row>
    <row r="228">
      <c r="A228" s="2" t="n">
        <v>227</v>
      </c>
      <c r="B228" s="3" t="inlineStr">
        <is>
          <t>Smash Burguer Bela Vista</t>
        </is>
      </c>
      <c r="C228" s="3" t="inlineStr">
        <is>
          <t>São Paulo</t>
        </is>
      </c>
      <c r="D228" s="2" t="inlineStr">
        <is>
          <t>SP</t>
        </is>
      </c>
      <c r="E228" s="3" t="inlineStr">
        <is>
          <t>Bela Vista</t>
        </is>
      </c>
      <c r="F228" s="4" t="inlineStr">
        <is>
          <t>abrir</t>
        </is>
      </c>
      <c r="G228" s="2" t="inlineStr"/>
      <c r="H228" s="5" t="n"/>
      <c r="I228" s="6" t="n"/>
      <c r="J228" s="2">
        <f>IF(I228="","",IF(I228&gt;=300,"Alta",IF(I228&gt;=100,"Média","Baixa")))</f>
        <v/>
      </c>
      <c r="K228" s="7" t="n"/>
      <c r="L228" s="7" t="n"/>
      <c r="M228" s="7" t="n"/>
      <c r="N228" s="8" t="n"/>
      <c r="O228" s="9">
        <f>IF(N228="","",N228*'Como usar'!$C$6)</f>
        <v/>
      </c>
      <c r="P228" s="10" t="n"/>
      <c r="Q228" s="11" t="n"/>
      <c r="R228" s="11" t="n"/>
      <c r="S228" s="11" t="n"/>
      <c r="T228" s="7" t="n"/>
      <c r="U228" s="7" t="n"/>
    </row>
    <row r="229">
      <c r="A229" s="2" t="n">
        <v>228</v>
      </c>
      <c r="B229" s="3" t="inlineStr">
        <is>
          <t>The Route Burger</t>
        </is>
      </c>
      <c r="C229" s="3" t="inlineStr">
        <is>
          <t>São Paulo</t>
        </is>
      </c>
      <c r="D229" s="2" t="inlineStr">
        <is>
          <t>SP</t>
        </is>
      </c>
      <c r="E229" s="3" t="inlineStr">
        <is>
          <t>Santana</t>
        </is>
      </c>
      <c r="F229" s="4" t="inlineStr">
        <is>
          <t>abrir</t>
        </is>
      </c>
      <c r="G229" s="2" t="inlineStr"/>
      <c r="H229" s="5" t="n"/>
      <c r="I229" s="6" t="n"/>
      <c r="J229" s="2">
        <f>IF(I229="","",IF(I229&gt;=300,"Alta",IF(I229&gt;=100,"Média","Baixa")))</f>
        <v/>
      </c>
      <c r="K229" s="7" t="n"/>
      <c r="L229" s="7" t="n"/>
      <c r="M229" s="7" t="n"/>
      <c r="N229" s="8" t="n"/>
      <c r="O229" s="9">
        <f>IF(N229="","",N229*'Como usar'!$C$6)</f>
        <v/>
      </c>
      <c r="P229" s="10" t="n"/>
      <c r="Q229" s="11" t="n"/>
      <c r="R229" s="11" t="n"/>
      <c r="S229" s="11" t="n"/>
      <c r="T229" s="7" t="n"/>
      <c r="U229" s="7" t="n"/>
    </row>
    <row r="230">
      <c r="A230" s="2" t="n">
        <v>229</v>
      </c>
      <c r="B230" s="3" t="inlineStr">
        <is>
          <t>Tt Burger - Pinheiros</t>
        </is>
      </c>
      <c r="C230" s="3" t="inlineStr">
        <is>
          <t>São Paulo</t>
        </is>
      </c>
      <c r="D230" s="2" t="inlineStr">
        <is>
          <t>SP</t>
        </is>
      </c>
      <c r="E230" s="3" t="inlineStr">
        <is>
          <t>Pinheiros</t>
        </is>
      </c>
      <c r="F230" s="4" t="inlineStr">
        <is>
          <t>abrir</t>
        </is>
      </c>
      <c r="G230" s="2" t="inlineStr">
        <is>
          <t>Sim</t>
        </is>
      </c>
      <c r="H230" s="5" t="n"/>
      <c r="I230" s="6" t="n"/>
      <c r="J230" s="2">
        <f>IF(I230="","",IF(I230&gt;=300,"Alta",IF(I230&gt;=100,"Média","Baixa")))</f>
        <v/>
      </c>
      <c r="K230" s="7" t="n"/>
      <c r="L230" s="7" t="n"/>
      <c r="M230" s="7" t="n"/>
      <c r="N230" s="8" t="n"/>
      <c r="O230" s="9">
        <f>IF(N230="","",N230*'Como usar'!$C$6)</f>
        <v/>
      </c>
      <c r="P230" s="10" t="n"/>
      <c r="Q230" s="11" t="n"/>
      <c r="R230" s="11" t="n"/>
      <c r="S230" s="11" t="n"/>
      <c r="T230" s="7" t="n"/>
      <c r="U230" s="7" t="n"/>
    </row>
    <row r="231">
      <c r="A231" s="2" t="n">
        <v>230</v>
      </c>
      <c r="B231" s="3" t="inlineStr">
        <is>
          <t>Artesano Burguer - Hamburguer Artesanal</t>
        </is>
      </c>
      <c r="C231" s="3" t="inlineStr">
        <is>
          <t>Palmas</t>
        </is>
      </c>
      <c r="D231" s="2" t="inlineStr">
        <is>
          <t>TO</t>
        </is>
      </c>
      <c r="E231" s="3" t="inlineStr">
        <is>
          <t>Plano Diretor Norte</t>
        </is>
      </c>
      <c r="F231" s="4" t="inlineStr">
        <is>
          <t>abrir</t>
        </is>
      </c>
      <c r="G231" s="2" t="inlineStr"/>
      <c r="H231" s="5" t="n"/>
      <c r="I231" s="6" t="n"/>
      <c r="J231" s="2">
        <f>IF(I231="","",IF(I231&gt;=300,"Alta",IF(I231&gt;=100,"Média","Baixa")))</f>
        <v/>
      </c>
      <c r="K231" s="7" t="n"/>
      <c r="L231" s="7" t="n"/>
      <c r="M231" s="7" t="n"/>
      <c r="N231" s="8" t="n"/>
      <c r="O231" s="9">
        <f>IF(N231="","",N231*'Como usar'!$C$6)</f>
        <v/>
      </c>
      <c r="P231" s="10" t="n"/>
      <c r="Q231" s="11" t="n"/>
      <c r="R231" s="11" t="n"/>
      <c r="S231" s="11" t="n"/>
      <c r="T231" s="7" t="n"/>
      <c r="U231" s="7" t="n"/>
    </row>
    <row r="232">
      <c r="A232" s="2" t="n">
        <v>231</v>
      </c>
      <c r="B232" s="3" t="inlineStr">
        <is>
          <t>Barão de Paiva Hamburgueria</t>
        </is>
      </c>
      <c r="C232" s="3" t="inlineStr">
        <is>
          <t>Palmas</t>
        </is>
      </c>
      <c r="D232" s="2" t="inlineStr">
        <is>
          <t>TO</t>
        </is>
      </c>
      <c r="E232" s="3" t="inlineStr">
        <is>
          <t>Jardim Aureny III (Taquaralto)</t>
        </is>
      </c>
      <c r="F232" s="4" t="inlineStr">
        <is>
          <t>abrir</t>
        </is>
      </c>
      <c r="G232" s="2" t="inlineStr"/>
      <c r="H232" s="5" t="n"/>
      <c r="I232" s="6" t="n"/>
      <c r="J232" s="2">
        <f>IF(I232="","",IF(I232&gt;=300,"Alta",IF(I232&gt;=100,"Média","Baixa")))</f>
        <v/>
      </c>
      <c r="K232" s="7" t="n"/>
      <c r="L232" s="7" t="n"/>
      <c r="M232" s="7" t="n"/>
      <c r="N232" s="8" t="n"/>
      <c r="O232" s="9">
        <f>IF(N232="","",N232*'Como usar'!$C$6)</f>
        <v/>
      </c>
      <c r="P232" s="10" t="n"/>
      <c r="Q232" s="11" t="n"/>
      <c r="R232" s="11" t="n"/>
      <c r="S232" s="11" t="n"/>
      <c r="T232" s="7" t="n"/>
      <c r="U232" s="7" t="n"/>
    </row>
    <row r="233">
      <c r="A233" s="2" t="n">
        <v>232</v>
      </c>
      <c r="B233" s="3" t="inlineStr">
        <is>
          <t>Hamburgueria Graciosa</t>
        </is>
      </c>
      <c r="C233" s="3" t="inlineStr">
        <is>
          <t>Palmas</t>
        </is>
      </c>
      <c r="D233" s="2" t="inlineStr">
        <is>
          <t>TO</t>
        </is>
      </c>
      <c r="E233" s="3" t="inlineStr">
        <is>
          <t>Plano Diretor Norte</t>
        </is>
      </c>
      <c r="F233" s="4" t="inlineStr">
        <is>
          <t>abrir</t>
        </is>
      </c>
      <c r="G233" s="2" t="inlineStr"/>
      <c r="H233" s="5" t="n"/>
      <c r="I233" s="6" t="n"/>
      <c r="J233" s="2">
        <f>IF(I233="","",IF(I233&gt;=300,"Alta",IF(I233&gt;=100,"Média","Baixa")))</f>
        <v/>
      </c>
      <c r="K233" s="7" t="n"/>
      <c r="L233" s="7" t="n"/>
      <c r="M233" s="7" t="n"/>
      <c r="N233" s="8" t="n"/>
      <c r="O233" s="9">
        <f>IF(N233="","",N233*'Como usar'!$C$6)</f>
        <v/>
      </c>
      <c r="P233" s="10" t="n"/>
      <c r="Q233" s="11" t="n"/>
      <c r="R233" s="11" t="n"/>
      <c r="S233" s="11" t="n"/>
      <c r="T233" s="7" t="n"/>
      <c r="U233" s="7" t="n"/>
    </row>
    <row r="234">
      <c r="A234" s="2" t="n">
        <v>233</v>
      </c>
      <c r="B234" s="3" t="inlineStr">
        <is>
          <t>La Casa Gourmet Hamburgueria</t>
        </is>
      </c>
      <c r="C234" s="3" t="inlineStr">
        <is>
          <t>Palmas</t>
        </is>
      </c>
      <c r="D234" s="2" t="inlineStr">
        <is>
          <t>TO</t>
        </is>
      </c>
      <c r="E234" s="3" t="inlineStr">
        <is>
          <t>Plano Diretor Sul</t>
        </is>
      </c>
      <c r="F234" s="4" t="inlineStr">
        <is>
          <t>abrir</t>
        </is>
      </c>
      <c r="G234" s="2" t="inlineStr"/>
      <c r="H234" s="5" t="n"/>
      <c r="I234" s="6" t="n"/>
      <c r="J234" s="2">
        <f>IF(I234="","",IF(I234&gt;=300,"Alta",IF(I234&gt;=100,"Média","Baixa")))</f>
        <v/>
      </c>
      <c r="K234" s="7" t="n"/>
      <c r="L234" s="7" t="n"/>
      <c r="M234" s="7" t="n"/>
      <c r="N234" s="8" t="n"/>
      <c r="O234" s="9">
        <f>IF(N234="","",N234*'Como usar'!$C$6)</f>
        <v/>
      </c>
      <c r="P234" s="10" t="n"/>
      <c r="Q234" s="11" t="n"/>
      <c r="R234" s="11" t="n"/>
      <c r="S234" s="11" t="n"/>
      <c r="T234" s="7" t="n"/>
      <c r="U234" s="7" t="n"/>
    </row>
  </sheetData>
  <autoFilter ref="A1:U234"/>
  <dataValidations count="1">
    <dataValidation sqref="Q2:S234" showDropDown="0" showInputMessage="0" showErrorMessage="0" allowBlank="1" type="list">
      <formula1>"Sim,Não"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32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0" customWidth="1" min="3" max="3"/>
  </cols>
  <sheetData>
    <row r="2">
      <c r="B2" s="12" t="inlineStr">
        <is>
          <t>Leads de hamburguerias no iFood (Brasil)</t>
        </is>
      </c>
    </row>
    <row r="3">
      <c r="B3" s="13" t="inlineStr">
        <is>
          <t>233 hamburguerias em 47 cidades e 27 estados. Fonte: páginas públicas das lojas no iFood, encontradas por busca na web em 30/09/2026.</t>
        </is>
      </c>
    </row>
    <row r="5">
      <c r="A5" s="14" t="n"/>
      <c r="B5" s="15" t="inlineStr">
        <is>
          <t>PREMISSA (pode editar)</t>
        </is>
      </c>
      <c r="C5" s="14" t="n"/>
    </row>
    <row r="6">
      <c r="A6" s="14" t="n"/>
      <c r="B6" s="14" t="inlineStr">
        <is>
          <t>Taxa iFood usada na conta</t>
        </is>
      </c>
      <c r="C6" s="16" t="n">
        <v>0.152</v>
      </c>
    </row>
    <row r="7">
      <c r="A7" s="14" t="n"/>
      <c r="B7" s="14" t="inlineStr">
        <is>
          <t>Por que 15,2%?</t>
        </is>
      </c>
      <c r="C7" s="14" t="inlineStr">
        <is>
          <t>É a menor taxa do iFood (Plano Básico). Usar a menor evita exagerar a conta na abordagem. Se souber que a loja usa entregador do iFood, troque para 0,23 ou mais.</t>
        </is>
      </c>
    </row>
    <row r="8">
      <c r="A8" s="14" t="n"/>
      <c r="B8" s="14" t="n"/>
      <c r="C8" s="14" t="n"/>
    </row>
    <row r="9">
      <c r="A9" s="14" t="n"/>
      <c r="B9" s="15" t="inlineStr">
        <is>
          <t>COMO USAR</t>
        </is>
      </c>
      <c r="C9" s="14" t="n"/>
    </row>
    <row r="10">
      <c r="A10" s="14" t="n"/>
      <c r="B10" s="17" t="inlineStr">
        <is>
          <t>1. Filtre</t>
        </is>
      </c>
      <c r="C10" s="18" t="inlineStr">
        <is>
          <t>Na aba "Leads", use o filtro de UF/Cidade. Comece por onde você conhece ou pela sua região.</t>
        </is>
      </c>
    </row>
    <row r="11">
      <c r="A11" s="14" t="n"/>
      <c r="B11" s="17" t="inlineStr">
        <is>
          <t>2. Abra o link iFood</t>
        </is>
      </c>
      <c r="C11" s="18" t="inlineStr">
        <is>
          <t>Anote nota, nº de avaliações, lanche principal e preço (colunas amarelas). A "Prioridade" e a "Taxa por lanche" calculam sozinhas.</t>
        </is>
      </c>
    </row>
    <row r="12">
      <c r="A12" s="14" t="n"/>
      <c r="B12" s="17" t="inlineStr">
        <is>
          <t>3. Ache o WhatsApp</t>
        </is>
      </c>
      <c r="C12" s="18" t="inlineStr">
        <is>
          <t>A página do iFood não mostra telefone. Procure o Instagram da loja (busca pelo nome + cidade) — o WhatsApp costuma estar no link da bio.</t>
        </is>
      </c>
    </row>
    <row r="13">
      <c r="A13" s="14" t="n"/>
      <c r="B13" s="17" t="inlineStr">
        <is>
          <t>4. Priorize</t>
        </is>
      </c>
      <c r="C13" s="18" t="inlineStr">
        <is>
          <t>Comece pelas de prioridade "Alta" (300+ avaliações = volume de pedidos). Coluna "Rede?" = Sim indica provável franquia/rede: a decisão pode ser da franqueadora, deixe por último.</t>
        </is>
      </c>
    </row>
    <row r="14">
      <c r="A14" s="14" t="n"/>
      <c r="B14" s="17" t="inlineStr">
        <is>
          <t>5. Aborde e registre</t>
        </is>
      </c>
      <c r="C14" s="18" t="inlineStr">
        <is>
          <t>Use as mensagens da aba "Mensagens". Preencha data, respondeu, viu o link, fechou e o motivo do "não". A aba "Resumo" mostra o funil.</t>
        </is>
      </c>
    </row>
    <row r="15">
      <c r="A15" s="14" t="n"/>
      <c r="B15" s="17" t="inlineStr">
        <is>
          <t>6. Regras</t>
        </is>
      </c>
      <c r="C15" s="18" t="inlineStr">
        <is>
          <t>Máx. 10–15 contatos novos por dia, à mão (evita bloqueio do WhatsApp). Nunca oriente colocar telefone/rede social dentro do iFood — o iFood pune.</t>
        </is>
      </c>
    </row>
    <row r="16">
      <c r="A16" s="14" t="n"/>
      <c r="B16" s="14" t="n"/>
      <c r="C16" s="14" t="n"/>
    </row>
    <row r="17">
      <c r="A17" s="14" t="n"/>
      <c r="B17" s="15" t="inlineStr">
        <is>
          <t>LEGENDA</t>
        </is>
      </c>
      <c r="C17" s="14" t="n"/>
    </row>
    <row r="18">
      <c r="A18" s="14" t="n"/>
      <c r="B18" s="19" t="inlineStr">
        <is>
          <t>Célula amarela</t>
        </is>
      </c>
      <c r="C18" s="14" t="inlineStr">
        <is>
          <t>Você preenche</t>
        </is>
      </c>
    </row>
    <row r="19">
      <c r="A19" s="14" t="n"/>
      <c r="B19" s="20" t="inlineStr">
        <is>
          <t>Texto azul</t>
        </is>
      </c>
      <c r="C19" s="14" t="inlineStr">
        <is>
          <t>Premissa editável</t>
        </is>
      </c>
    </row>
    <row r="20">
      <c r="A20" s="14" t="n"/>
      <c r="B20" s="14" t="inlineStr">
        <is>
          <t>Coluna cinza/branca</t>
        </is>
      </c>
      <c r="C20" s="14" t="inlineStr">
        <is>
          <t>Dado já levantado ou fórmula — não precisa mexer</t>
        </is>
      </c>
    </row>
    <row r="21">
      <c r="A21" s="14" t="n"/>
      <c r="B21" s="14" t="n"/>
      <c r="C21" s="14" t="n"/>
    </row>
    <row r="22">
      <c r="A22" s="14" t="n"/>
      <c r="B22" s="15" t="inlineStr">
        <is>
          <t>EXEMPLO DE LINHA PREENCHIDA (fictício)</t>
        </is>
      </c>
      <c r="C22" s="14" t="n"/>
    </row>
    <row r="23">
      <c r="A23" s="14" t="n"/>
      <c r="B23" s="14" t="inlineStr">
        <is>
          <t>Nota iFood</t>
        </is>
      </c>
      <c r="C23" s="13" t="inlineStr">
        <is>
          <t>4,8</t>
        </is>
      </c>
    </row>
    <row r="24">
      <c r="A24" s="14" t="n"/>
      <c r="B24" s="14" t="inlineStr">
        <is>
          <t>Nº avaliações</t>
        </is>
      </c>
      <c r="C24" s="13" t="inlineStr">
        <is>
          <t>520</t>
        </is>
      </c>
    </row>
    <row r="25">
      <c r="A25" s="14" t="n"/>
      <c r="B25" s="14" t="inlineStr">
        <is>
          <t>Instagram</t>
        </is>
      </c>
      <c r="C25" s="13" t="inlineStr">
        <is>
          <t>@exemploburger</t>
        </is>
      </c>
    </row>
    <row r="26">
      <c r="A26" s="14" t="n"/>
      <c r="B26" s="14" t="inlineStr">
        <is>
          <t>WhatsApp</t>
        </is>
      </c>
      <c r="C26" s="13" t="inlineStr">
        <is>
          <t>(85) 9 9999-0000</t>
        </is>
      </c>
    </row>
    <row r="27">
      <c r="A27" s="14" t="n"/>
      <c r="B27" s="14" t="inlineStr">
        <is>
          <t>Lanche principal</t>
        </is>
      </c>
      <c r="C27" s="13" t="inlineStr">
        <is>
          <t>Smash Duplo</t>
        </is>
      </c>
    </row>
    <row r="28">
      <c r="A28" s="14" t="n"/>
      <c r="B28" s="14" t="inlineStr">
        <is>
          <t>Preço do lanche</t>
        </is>
      </c>
      <c r="C28" s="13" t="inlineStr">
        <is>
          <t>34,90</t>
        </is>
      </c>
    </row>
    <row r="29">
      <c r="A29" s="14" t="n"/>
      <c r="B29" s="14" t="inlineStr">
        <is>
          <t>Data 1º contato</t>
        </is>
      </c>
      <c r="C29" s="13" t="inlineStr">
        <is>
          <t>01/10/2026</t>
        </is>
      </c>
    </row>
    <row r="30">
      <c r="A30" s="14" t="n"/>
      <c r="B30" s="14" t="inlineStr">
        <is>
          <t>Respondeu? / Viu o link? / Fechou?</t>
        </is>
      </c>
      <c r="C30" s="13" t="inlineStr">
        <is>
          <t>Sim / Sim / Não</t>
        </is>
      </c>
    </row>
    <row r="31">
      <c r="A31" s="14" t="n"/>
      <c r="B31" s="14" t="inlineStr">
        <is>
          <t>Motivo do "não"</t>
        </is>
      </c>
      <c r="C31" s="13" t="inlineStr">
        <is>
          <t>Já paga Anota AI e acha caro somar outra mensalidade</t>
        </is>
      </c>
    </row>
    <row r="32">
      <c r="A32" s="14" t="n"/>
      <c r="B32" s="14" t="n"/>
      <c r="C32" s="1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4" customWidth="1" min="2" max="2"/>
    <col width="14" customWidth="1" min="3" max="3"/>
    <col width="8" customWidth="1" min="5" max="5"/>
    <col width="12" customWidth="1" min="6" max="6"/>
  </cols>
  <sheetData>
    <row r="1"/>
    <row r="2">
      <c r="B2" s="21" t="inlineStr">
        <is>
          <t>Funil de prospecção</t>
        </is>
      </c>
      <c r="E2" s="21" t="inlineStr">
        <is>
          <t>Leads por UF</t>
        </is>
      </c>
    </row>
    <row r="3">
      <c r="E3" s="22" t="inlineStr">
        <is>
          <t>UF</t>
        </is>
      </c>
      <c r="F3" s="22" t="inlineStr">
        <is>
          <t>Leads</t>
        </is>
      </c>
    </row>
    <row r="4">
      <c r="B4" s="23" t="inlineStr">
        <is>
          <t>Leads na lista</t>
        </is>
      </c>
      <c r="C4" s="23">
        <f>COUNTA(Leads!B2:B234)</f>
        <v/>
      </c>
      <c r="E4" s="23" t="inlineStr">
        <is>
          <t>AC</t>
        </is>
      </c>
      <c r="F4" s="23">
        <f>COUNTIF(Leads!D2:D234,E4)</f>
        <v/>
      </c>
    </row>
    <row r="5">
      <c r="B5" s="23" t="inlineStr">
        <is>
          <t>Contatados</t>
        </is>
      </c>
      <c r="C5" s="23">
        <f>COUNT(Leads!P2:P234)</f>
        <v/>
      </c>
      <c r="E5" s="23" t="inlineStr">
        <is>
          <t>AL</t>
        </is>
      </c>
      <c r="F5" s="23">
        <f>COUNTIF(Leads!D2:D234,E5)</f>
        <v/>
      </c>
    </row>
    <row r="6">
      <c r="B6" s="23" t="inlineStr">
        <is>
          <t>Responderam</t>
        </is>
      </c>
      <c r="C6" s="23">
        <f>COUNTIF(Leads!Q2:Q234,"Sim")</f>
        <v/>
      </c>
      <c r="E6" s="23" t="inlineStr">
        <is>
          <t>AM</t>
        </is>
      </c>
      <c r="F6" s="23">
        <f>COUNTIF(Leads!D2:D234,E6)</f>
        <v/>
      </c>
    </row>
    <row r="7">
      <c r="B7" s="23" t="inlineStr">
        <is>
          <t>Viram o link</t>
        </is>
      </c>
      <c r="C7" s="23">
        <f>COUNTIF(Leads!R2:R234,"Sim")</f>
        <v/>
      </c>
      <c r="E7" s="23" t="inlineStr">
        <is>
          <t>AP</t>
        </is>
      </c>
      <c r="F7" s="23">
        <f>COUNTIF(Leads!D2:D234,E7)</f>
        <v/>
      </c>
    </row>
    <row r="8">
      <c r="B8" s="23" t="inlineStr">
        <is>
          <t>Fecharam</t>
        </is>
      </c>
      <c r="C8" s="23">
        <f>COUNTIF(Leads!S2:S234,"Sim")</f>
        <v/>
      </c>
      <c r="E8" s="23" t="inlineStr">
        <is>
          <t>BA</t>
        </is>
      </c>
      <c r="F8" s="23">
        <f>COUNTIF(Leads!D2:D234,E8)</f>
        <v/>
      </c>
    </row>
    <row r="9">
      <c r="E9" s="23" t="inlineStr">
        <is>
          <t>CE</t>
        </is>
      </c>
      <c r="F9" s="23">
        <f>COUNTIF(Leads!D2:D234,E9)</f>
        <v/>
      </c>
    </row>
    <row r="10">
      <c r="B10" s="23" t="inlineStr">
        <is>
          <t>Taxa de resposta</t>
        </is>
      </c>
      <c r="C10" s="24">
        <f>IFERROR(C6/C5,0)</f>
        <v/>
      </c>
      <c r="E10" s="23" t="inlineStr">
        <is>
          <t>DF</t>
        </is>
      </c>
      <c r="F10" s="23">
        <f>COUNTIF(Leads!D2:D234,E10)</f>
        <v/>
      </c>
    </row>
    <row r="11">
      <c r="B11" s="23" t="inlineStr">
        <is>
          <t>Taxa de fechamento (sobre contatados)</t>
        </is>
      </c>
      <c r="C11" s="24">
        <f>IFERROR(C8/C5,0)</f>
        <v/>
      </c>
      <c r="E11" s="23" t="inlineStr">
        <is>
          <t>ES</t>
        </is>
      </c>
      <c r="F11" s="23">
        <f>COUNTIF(Leads!D2:D234,E11)</f>
        <v/>
      </c>
    </row>
    <row r="12">
      <c r="B12" s="23" t="inlineStr">
        <is>
          <t>Mensalidade (R$) — premissa</t>
        </is>
      </c>
      <c r="C12" s="25" t="n">
        <v>397</v>
      </c>
      <c r="E12" s="23" t="inlineStr">
        <is>
          <t>GO</t>
        </is>
      </c>
      <c r="F12" s="23">
        <f>COUNTIF(Leads!D2:D234,E12)</f>
        <v/>
      </c>
    </row>
    <row r="13">
      <c r="B13" s="23" t="inlineStr">
        <is>
          <t>Receita mensal recorrente (R$)</t>
        </is>
      </c>
      <c r="C13" s="26">
        <f>C8*C12</f>
        <v/>
      </c>
      <c r="E13" s="23" t="inlineStr">
        <is>
          <t>MA</t>
        </is>
      </c>
      <c r="F13" s="23">
        <f>COUNTIF(Leads!D2:D234,E13)</f>
        <v/>
      </c>
    </row>
    <row r="14">
      <c r="B14" s="23" t="inlineStr">
        <is>
          <t>Faltam para R$ 2.000/mês (clientes)</t>
        </is>
      </c>
      <c r="C14" s="23">
        <f>MAX(0,ROUNDUP((2000-C13)/C12,0))</f>
        <v/>
      </c>
      <c r="E14" s="23" t="inlineStr">
        <is>
          <t>MG</t>
        </is>
      </c>
      <c r="F14" s="23">
        <f>COUNTIF(Leads!D2:D234,E14)</f>
        <v/>
      </c>
    </row>
    <row r="15">
      <c r="E15" s="23" t="inlineStr">
        <is>
          <t>MS</t>
        </is>
      </c>
      <c r="F15" s="23">
        <f>COUNTIF(Leads!D2:D234,E15)</f>
        <v/>
      </c>
    </row>
    <row r="16">
      <c r="E16" s="23" t="inlineStr">
        <is>
          <t>MT</t>
        </is>
      </c>
      <c r="F16" s="23">
        <f>COUNTIF(Leads!D2:D234,E16)</f>
        <v/>
      </c>
    </row>
    <row r="17">
      <c r="E17" s="23" t="inlineStr">
        <is>
          <t>PA</t>
        </is>
      </c>
      <c r="F17" s="23">
        <f>COUNTIF(Leads!D2:D234,E17)</f>
        <v/>
      </c>
    </row>
    <row r="18">
      <c r="E18" s="23" t="inlineStr">
        <is>
          <t>PB</t>
        </is>
      </c>
      <c r="F18" s="23">
        <f>COUNTIF(Leads!D2:D234,E18)</f>
        <v/>
      </c>
    </row>
    <row r="19">
      <c r="E19" s="23" t="inlineStr">
        <is>
          <t>PE</t>
        </is>
      </c>
      <c r="F19" s="23">
        <f>COUNTIF(Leads!D2:D234,E19)</f>
        <v/>
      </c>
    </row>
    <row r="20">
      <c r="E20" s="23" t="inlineStr">
        <is>
          <t>PI</t>
        </is>
      </c>
      <c r="F20" s="23">
        <f>COUNTIF(Leads!D2:D234,E20)</f>
        <v/>
      </c>
    </row>
    <row r="21">
      <c r="E21" s="23" t="inlineStr">
        <is>
          <t>PR</t>
        </is>
      </c>
      <c r="F21" s="23">
        <f>COUNTIF(Leads!D2:D234,E21)</f>
        <v/>
      </c>
    </row>
    <row r="22">
      <c r="E22" s="23" t="inlineStr">
        <is>
          <t>RJ</t>
        </is>
      </c>
      <c r="F22" s="23">
        <f>COUNTIF(Leads!D2:D234,E22)</f>
        <v/>
      </c>
    </row>
    <row r="23">
      <c r="E23" s="23" t="inlineStr">
        <is>
          <t>RN</t>
        </is>
      </c>
      <c r="F23" s="23">
        <f>COUNTIF(Leads!D2:D234,E23)</f>
        <v/>
      </c>
    </row>
    <row r="24">
      <c r="E24" s="23" t="inlineStr">
        <is>
          <t>RO</t>
        </is>
      </c>
      <c r="F24" s="23">
        <f>COUNTIF(Leads!D2:D234,E24)</f>
        <v/>
      </c>
    </row>
    <row r="25">
      <c r="E25" s="23" t="inlineStr">
        <is>
          <t>RR</t>
        </is>
      </c>
      <c r="F25" s="23">
        <f>COUNTIF(Leads!D2:D234,E25)</f>
        <v/>
      </c>
    </row>
    <row r="26">
      <c r="E26" s="23" t="inlineStr">
        <is>
          <t>RS</t>
        </is>
      </c>
      <c r="F26" s="23">
        <f>COUNTIF(Leads!D2:D234,E26)</f>
        <v/>
      </c>
    </row>
    <row r="27">
      <c r="E27" s="23" t="inlineStr">
        <is>
          <t>SC</t>
        </is>
      </c>
      <c r="F27" s="23">
        <f>COUNTIF(Leads!D2:D234,E27)</f>
        <v/>
      </c>
    </row>
    <row r="28">
      <c r="E28" s="23" t="inlineStr">
        <is>
          <t>SE</t>
        </is>
      </c>
      <c r="F28" s="23">
        <f>COUNTIF(Leads!D2:D234,E28)</f>
        <v/>
      </c>
    </row>
    <row r="29">
      <c r="E29" s="23" t="inlineStr">
        <is>
          <t>SP</t>
        </is>
      </c>
      <c r="F29" s="23">
        <f>COUNTIF(Leads!D2:D234,E29)</f>
        <v/>
      </c>
    </row>
    <row r="30">
      <c r="E30" s="23" t="inlineStr">
        <is>
          <t>TO</t>
        </is>
      </c>
      <c r="F30" s="23">
        <f>COUNTIF(Leads!D2:D234,E30)</f>
        <v/>
      </c>
    </row>
    <row r="31">
      <c r="E31" s="15" t="inlineStr">
        <is>
          <t>Total</t>
        </is>
      </c>
      <c r="F31" s="15">
        <f>SUM(F4:F30)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22" t="inlineStr">
        <is>
          <t>Etapa</t>
        </is>
      </c>
      <c r="B1" s="22" t="inlineStr">
        <is>
          <t>Texto (troque o que está entre [colchetes])</t>
        </is>
      </c>
    </row>
    <row r="2" ht="135" customHeight="1">
      <c r="A2" s="27" t="inlineStr">
        <is>
          <t>Mensagem 1 (principal) — mande junto com o print da página</t>
        </is>
      </c>
      <c r="B2" s="18" t="inlineStr">
        <is>
          <t>Oi, [Nome]! Tudo bem?
Aqui é o [seu nome], ajudo hamburgueria a vender mais pelo próprio WhatsApp.
Montei essa página de pedido com a cara da [Hamburgueria] 👆
Fiz uma conta rápida: a cada [Smash Duplo] de R$ [34] vendido no iFood, pelo menos R$ [5] ficam de taxa. Pedido que chega por essa página cai direto no seu WhatsApp, sem comissão nenhuma.
Quer que eu te mande o link pra testar no celular?</t>
        </is>
      </c>
    </row>
    <row r="3" ht="105" customHeight="1">
      <c r="A3" s="27" t="inlineStr">
        <is>
          <t>Mensagem 2 (rápida, sem página pronta)</t>
        </is>
      </c>
      <c r="B3" s="18" t="inlineStr">
        <is>
          <t>Oi, [Nome]! Vi a [Hamburgueria] no iFood, nota [4,8] com [+500] avaliações, vocês mandam bem 👏
Uma pergunta rápida: você sabe quanto paga de taxa por mês pro iFood?
Fiz a conta com o [Smash Duplo]: pelo menos R$ [5] por lanche. Em 300 pedidos, passa de R$ [1.500] por mês.
Eu monto uma página de pedido com a marca de vocês, e o cliente pede direto no seu WhatsApp, sem taxa. Posso montar uma de exemplo pra você ver, sem compromisso?</t>
        </is>
      </c>
    </row>
    <row r="4" ht="45" customHeight="1">
      <c r="A4" s="27" t="inlineStr">
        <is>
          <t>Mensagem 3 (Instagram)</t>
        </is>
      </c>
      <c r="B4" s="18" t="inlineStr">
        <is>
          <t>Oi! Curti demais o [lanche do último post] 🍔
Montei uma página de pedido com a marca de vocês, pro cliente pedir direto no WhatsApp sem pagar taxa pro iFood. Posso te mandar o print?</t>
        </is>
      </c>
    </row>
    <row r="5" ht="45" customHeight="1">
      <c r="A5" s="27" t="inlineStr">
        <is>
          <t>Acompanhamento — dia 2</t>
        </is>
      </c>
      <c r="B5" s="18" t="inlineStr">
        <is>
          <t>Oi, [Nome]! Só pra não se perder aqui no meio das mensagens 😅 [reenvie o print]
Se fizer sentido, te mostro em 5 min como o cliente pede. Se não for prioridade agora, tranquilo também.</t>
        </is>
      </c>
    </row>
    <row r="6" ht="30" customHeight="1">
      <c r="A6" s="27" t="inlineStr">
        <is>
          <t>Acompanhamento — dia 5</t>
        </is>
      </c>
      <c r="B6" s="18" t="inlineStr">
        <is>
          <t>Uma dica que vale mesmo sem mim: coloca o link de pedido direto na bio do Instagram e no Google de vocês, com "peça aqui sem taxa". Quem já te conhece prefere pedir direto, só precisa saber que pode.</t>
        </is>
      </c>
    </row>
    <row r="7" ht="30" customHeight="1">
      <c r="A7" s="27" t="inlineStr">
        <is>
          <t>Acompanhamento — dia 10</t>
        </is>
      </c>
      <c r="B7" s="18" t="inlineStr">
        <is>
          <t>[Nome], vou tirar a página de exemplo da [Hamburgueria] do ar na sexta, pra não ficar nada com o nome de vocês solto por aí. Se quiser ficar com ela, é só me avisar 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2026-09-30T12:45:42Z</dcterms:created>
  <dcterms:modified xsi:type="dcterms:W3CDTF">2026-09-30T12:45:42Z</dcterms:modified>
</cp:coreProperties>
</file>