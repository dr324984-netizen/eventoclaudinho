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Como usar" sheetId="2" state="visible" r:id="rId2"/>
    <sheet name="Respostas prontas" sheetId="3" state="visible" r:id="rId3"/>
  </sheets>
  <definedNames>
    <definedName name="_xlnm._FilterDatabase" localSheetId="0" hidden="1">'Leads'!$A$1:$J$218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&quot;R$&quot; 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color rgb="000000FF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164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1" fillId="2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food.com.br/delivery/rio-branco-ac/imperium-hamburgueria-nova-esperanca/c3193de2-ff8e-4662-937c-7fbfc9783bcb" TargetMode="External" Id="rId1" /><Relationship Type="http://schemas.openxmlformats.org/officeDocument/2006/relationships/hyperlink" Target="https://www.ifood.com.br/delivery/maceio-al/alpha-burgers---hamburgueria-artesanal-barro-duro/65d2478c-e024-4f63-a22d-6f0bfce80ee2" TargetMode="External" Id="rId2" /><Relationship Type="http://schemas.openxmlformats.org/officeDocument/2006/relationships/hyperlink" Target="https://www.ifood.com.br/delivery/maceio-al/mania-smash---hamburgueria-jacintinho/d86718e0-cf2c-4189-b9c7-286f3015c808" TargetMode="External" Id="rId3" /><Relationship Type="http://schemas.openxmlformats.org/officeDocument/2006/relationships/hyperlink" Target="https://www.ifood.com.br/delivery/maceio-al/podrao-sandubaria---sanduiche-e-passaporte-jatiuca/cfe75d80-79bb-4d55-8350-4a6c089eaf9d" TargetMode="External" Id="rId4" /><Relationship Type="http://schemas.openxmlformats.org/officeDocument/2006/relationships/hyperlink" Target="https://www.ifood.com.br/delivery/maceio-al/rocca-burger-jatiuca/c06b1795-03ae-4829-a2e9-4e3c1cc72b48" TargetMode="External" Id="rId5" /><Relationship Type="http://schemas.openxmlformats.org/officeDocument/2006/relationships/hyperlink" Target="https://www.ifood.com.br/delivery/maceio-al/rustik-express-burguer--restaurante-poco/d8270209-f565-4ea6-800f-833a04f09831" TargetMode="External" Id="rId6" /><Relationship Type="http://schemas.openxmlformats.org/officeDocument/2006/relationships/hyperlink" Target="https://www.ifood.com.br/delivery/maceio-al/burguer---rustik-hamburgueria-pajucara/df7327ba-5030-4d69-a897-5d0557453815" TargetMode="External" Id="rId7" /><Relationship Type="http://schemas.openxmlformats.org/officeDocument/2006/relationships/hyperlink" Target="https://www.ifood.com.br/delivery/manaus-am/bbq-burguer--manaus-cidade-nova/a5722ffa-ca19-4bb0-8313-a2240ec0fe23" TargetMode="External" Id="rId8" /><Relationship Type="http://schemas.openxmlformats.org/officeDocument/2006/relationships/hyperlink" Target="https://www.ifood.com.br/delivery/manaus-am/burgers--burgers-adrianopolis/24369207-1668-41a3-be20-8f9d71355b8d" TargetMode="External" Id="rId9" /><Relationship Type="http://schemas.openxmlformats.org/officeDocument/2006/relationships/hyperlink" Target="https://www.ifood.com.br/delivery/manaus-am/domes-burgers---planalto-planalto/1769e6cb-b11d-4e7a-ba45-9cfb30af8104" TargetMode="External" Id="rId10" /><Relationship Type="http://schemas.openxmlformats.org/officeDocument/2006/relationships/hyperlink" Target="https://www.ifood.com.br/delivery/manaus-am/geburger---hamburgueria-parque-dez-de-novembro/65cfcd89-42ca-44de-8bd9-5fea8bbedc91" TargetMode="External" Id="rId11" /><Relationship Type="http://schemas.openxmlformats.org/officeDocument/2006/relationships/hyperlink" Target="https://www.ifood.com.br/delivery/manaus-am/goiaba-burguer-adrianopolis/56ef66a5-01fc-46f4-9e54-fd49f1f4eb61" TargetMode="External" Id="rId12" /><Relationship Type="http://schemas.openxmlformats.org/officeDocument/2006/relationships/hyperlink" Target="https://www.ifood.com.br/delivery/manaus-am/hamburgueria-tbf-burger---hamburguer--hot-dog-nossa-senhora-das-gracas/23912bb7-95ed-40dd-97cc-a787098def94" TargetMode="External" Id="rId13" /><Relationship Type="http://schemas.openxmlformats.org/officeDocument/2006/relationships/hyperlink" Target="https://www.ifood.com.br/delivery/manaus-am/jotas-burgers---hamburgueria-parque-10-de-novembro/1d31e7b1-1031-4a93-b13e-8aff8101ba6c" TargetMode="External" Id="rId14" /><Relationship Type="http://schemas.openxmlformats.org/officeDocument/2006/relationships/hyperlink" Target="https://www.ifood.com.br/delivery/manaus-am/jsk-burgers---cidade-nova-colonia-santo-antonio/6d4b0b03-dab0-4a14-912c-42a122968fe7" TargetMode="External" Id="rId15" /><Relationship Type="http://schemas.openxmlformats.org/officeDocument/2006/relationships/hyperlink" Target="https://www.ifood.com.br/delivery/manaus-am/santa-brasa-burger-house---djalma-parque-10-de-novembro/5f2546ef-4139-4111-831a-3c99dbc5bf77" TargetMode="External" Id="rId16" /><Relationship Type="http://schemas.openxmlformats.org/officeDocument/2006/relationships/hyperlink" Target="https://www.ifood.com.br/delivery/macapa-ap/gburguer---hamburgueria-artesanal-marabaixo/7413fe18-b4dc-443f-9cdd-2ac920426156" TargetMode="External" Id="rId17" /><Relationship Type="http://schemas.openxmlformats.org/officeDocument/2006/relationships/hyperlink" Target="https://www.ifood.com.br/delivery/macapa-ap/hamburgueria-the-b-burguer-macapa-universidade/3cf040b6-bf1f-4c9d-996c-de9edf9a6e5d" TargetMode="External" Id="rId18" /><Relationship Type="http://schemas.openxmlformats.org/officeDocument/2006/relationships/hyperlink" Target="https://www.ifood.com.br/delivery/macapa-ap/homemade-hamburgueria-central/334c3d7c-de85-4d5d-b3ec-a30fa4f9272b" TargetMode="External" Id="rId19" /><Relationship Type="http://schemas.openxmlformats.org/officeDocument/2006/relationships/hyperlink" Target="https://www.ifood.com.br/delivery/salvador-ba/dk-burger--bar--o-melhor-hamburguer-artesanal-de-salvador-sao-marcos/4028c735-8e6c-4e25-9f1e-b2b31a71a8d2" TargetMode="External" Id="rId20" /><Relationship Type="http://schemas.openxmlformats.org/officeDocument/2006/relationships/hyperlink" Target="https://www.ifood.com.br/delivery/salvador-ba/good-food-burguer-brotas/4231f7e3-b708-44b2-8507-4880b1f6fd36" TargetMode="External" Id="rId21" /><Relationship Type="http://schemas.openxmlformats.org/officeDocument/2006/relationships/hyperlink" Target="https://www.ifood.com.br/delivery/salvador-ba/gs-burger---hamburgueria---lanches-dom-avelar/48c3b097-7c8e-453d-a95e-a81e479febe5" TargetMode="External" Id="rId22" /><Relationship Type="http://schemas.openxmlformats.org/officeDocument/2006/relationships/hyperlink" Target="https://www.ifood.com.br/delivery/salvador-ba/oxe-burger---hamburgueria-artesanal-novo-horizonte/b574a477-6a7c-40a6-bf0b-e9b22e4cacf8" TargetMode="External" Id="rId23" /><Relationship Type="http://schemas.openxmlformats.org/officeDocument/2006/relationships/hyperlink" Target="https://www.ifood.com.br/delivery/salvador-ba/hamburgueria---seltcs-burger-matatu/e5afb426-895e-4f18-a78a-e9c305c1f53d" TargetMode="External" Id="rId24" /><Relationship Type="http://schemas.openxmlformats.org/officeDocument/2006/relationships/hyperlink" Target="https://www.ifood.com.br/delivery/fortaleza-ce/4burger---ultra-smash-burger-jose-bonifacio/6b0a6d57-ea0f-46f4-8bb7-84584c10f40c" TargetMode="External" Id="rId25" /><Relationship Type="http://schemas.openxmlformats.org/officeDocument/2006/relationships/hyperlink" Target="https://www.ifood.com.br/delivery/fortaleza-ce/a-banca-hamburgueria-cristo-redentor/7c1cf984-802b-4d70-b5ad-a7235e16b2f0" TargetMode="External" Id="rId26" /><Relationship Type="http://schemas.openxmlformats.org/officeDocument/2006/relationships/hyperlink" Target="https://www.ifood.com.br/delivery/fortaleza-ce/double-trouble-burger---smash-guararapes/e6a68cde-a2db-44d1-a513-3b178ed70116" TargetMode="External" Id="rId27" /><Relationship Type="http://schemas.openxmlformats.org/officeDocument/2006/relationships/hyperlink" Target="https://www.ifood.com.br/delivery/fortaleza-ce/hamburgueria-88-parquelandia/4904fdb8-1d6f-4826-b24c-699b39bc57df" TargetMode="External" Id="rId28" /><Relationship Type="http://schemas.openxmlformats.org/officeDocument/2006/relationships/hyperlink" Target="https://www.ifood.com.br/delivery/fortaleza-ce/hook-smash-burger-aldeota/d49cb05f-284e-4353-b1b5-93c8b0f13822" TargetMode="External" Id="rId29" /><Relationship Type="http://schemas.openxmlformats.org/officeDocument/2006/relationships/hyperlink" Target="https://www.ifood.com.br/delivery/fortaleza-ce/seu-chefe-hamburgueria-maraponga-jardim-cearense/c91eaa2f-2ca8-4ebf-9eb0-c04e0b2a2b3b" TargetMode="External" Id="rId30" /><Relationship Type="http://schemas.openxmlformats.org/officeDocument/2006/relationships/hyperlink" Target="https://www.ifood.com.br/delivery/fortaleza-ce/the-burger---smash--combos-baratos-lagoa-sapiranga-coite/f880830c-bac7-4048-8852-34af47876e11" TargetMode="External" Id="rId31" /><Relationship Type="http://schemas.openxmlformats.org/officeDocument/2006/relationships/hyperlink" Target="https://www.ifood.com.br/delivery/fortaleza-ce/zack-smashs-dionisio-torres/26b0bf12-bf7e-4823-98f7-da2628480d83" TargetMode="External" Id="rId32" /><Relationship Type="http://schemas.openxmlformats.org/officeDocument/2006/relationships/hyperlink" Target="https://www.ifood.com.br/delivery/brasilia-df/mr-py-bbq--burger-setor-habitacional-vicente-pires/9088135a-4367-4928-b1a3-4bf2494f3047" TargetMode="External" Id="rId33" /><Relationship Type="http://schemas.openxmlformats.org/officeDocument/2006/relationships/hyperlink" Target="https://www.ifood.com.br/delivery/brasilia-df/prediletto-smash-burguer-samambaia-norte-samambaia/47d5d610-77f8-485c-82f8-6eb0bdf8ce7a" TargetMode="External" Id="rId34" /><Relationship Type="http://schemas.openxmlformats.org/officeDocument/2006/relationships/hyperlink" Target="https://www.ifood.com.br/delivery/brasilia-df/pao-recheado-hamburgueria---samambaia-norte-samambaia-norte-samambaia/7ded2f02-3009-40dd-b7f2-de2ddb91b685" TargetMode="External" Id="rId35" /><Relationship Type="http://schemas.openxmlformats.org/officeDocument/2006/relationships/hyperlink" Target="https://www.ifood.com.br/delivery/brasilia-df/smash-burger-bsb-asa-norte/591abcb9-0553-4c94-8aba-95bec1339406" TargetMode="External" Id="rId36" /><Relationship Type="http://schemas.openxmlformats.org/officeDocument/2006/relationships/hyperlink" Target="https://www.ifood.com.br/delivery/brasilia-df/spot-burguers--shakes---sudoeste-setor-sudoeste/151fd034-c665-447f-8196-fcfc6e7ec5e6" TargetMode="External" Id="rId37" /><Relationship Type="http://schemas.openxmlformats.org/officeDocument/2006/relationships/hyperlink" Target="https://www.ifood.com.br/delivery/brasilia-df/starbulls-hamburgueria---steak-e-burguer-recanto-das-emas/3237119b-a5b9-4ca8-bec1-a4649de494e1" TargetMode="External" Id="rId38" /><Relationship Type="http://schemas.openxmlformats.org/officeDocument/2006/relationships/hyperlink" Target="https://www.ifood.com.br/delivery/vila-velha-es/casa-burger-vila-velha----hamburgueria-itapua/c8864c42-7b19-4f76-9094-e7c1b146f58e" TargetMode="External" Id="rId39" /><Relationship Type="http://schemas.openxmlformats.org/officeDocument/2006/relationships/hyperlink" Target="https://www.ifood.com.br/delivery/vila-velha-es/favela-burger-delivery-novo-mexico/e7e593e4-a26a-4488-89c4-ddba0aeaa212" TargetMode="External" Id="rId40" /><Relationship Type="http://schemas.openxmlformats.org/officeDocument/2006/relationships/hyperlink" Target="https://www.ifood.com.br/delivery/vila-velha-es/show-burger-hamburgueria-artesanal-praia-de-itaparica/3e18482c-476e-4465-8d67-22ebf49568db" TargetMode="External" Id="rId41" /><Relationship Type="http://schemas.openxmlformats.org/officeDocument/2006/relationships/hyperlink" Target="https://www.ifood.com.br/delivery/vila-velha-es/victoria-burger---vila-velha-praia-da-costa/3660262b-f1a8-4c1f-8d57-4c2ca98ed03e" TargetMode="External" Id="rId42" /><Relationship Type="http://schemas.openxmlformats.org/officeDocument/2006/relationships/hyperlink" Target="https://www.ifood.com.br/delivery/aparecida-de-goiania-go/dlira-burger-hamburgueria-gourmet-entrega-gratis-e-rapida-vila-brasilia/3f507fe8-6118-4a7d-8293-960b60d5d0cf" TargetMode="External" Id="rId43" /><Relationship Type="http://schemas.openxmlformats.org/officeDocument/2006/relationships/hyperlink" Target="https://www.ifood.com.br/delivery/goiania-go/best-burgers--cia-setor-bueno/19badad1-059f-442d-871a-d71936544cb3" TargetMode="External" Id="rId44" /><Relationship Type="http://schemas.openxmlformats.org/officeDocument/2006/relationships/hyperlink" Target="https://www.ifood.com.br/delivery/goiania-go/me-gusta-burger---hamburgueria-artesanal-jardim-america/ed582e59-9592-4a58-8fc6-91f9555aa887" TargetMode="External" Id="rId45" /><Relationship Type="http://schemas.openxmlformats.org/officeDocument/2006/relationships/hyperlink" Target="https://www.ifood.com.br/delivery/goiania-go/mr-smash-burger-hamburgueria-e-lanches-jardim-america/777179ad-e04d-474e-a0bc-3ba7f57ffb9a" TargetMode="External" Id="rId46" /><Relationship Type="http://schemas.openxmlformats.org/officeDocument/2006/relationships/hyperlink" Target="https://www.ifood.com.br/delivery/goiania-go/rafas-burgers-setor-pedro-ludovico/e5bce0c8-92cf-4004-a244-41a9e70e546c" TargetMode="External" Id="rId47" /><Relationship Type="http://schemas.openxmlformats.org/officeDocument/2006/relationships/hyperlink" Target="https://www.ifood.com.br/delivery/goiania-go/simple-burger-jardim-goias/6a74d403-696d-4c94-8afc-5805014ca50b" TargetMode="External" Id="rId48" /><Relationship Type="http://schemas.openxmlformats.org/officeDocument/2006/relationships/hyperlink" Target="https://www.ifood.com.br/delivery/aguas-lindas-de-goias-go/smash-burger-artesanal-mansoes-olinda/dd0038ea-091e-475d-8ecc-3d09b5d4792f" TargetMode="External" Id="rId49" /><Relationship Type="http://schemas.openxmlformats.org/officeDocument/2006/relationships/hyperlink" Target="https://www.ifood.com.br/delivery/sao-luis-ma/american-smash-burger-chacara-brasil-turu/59b6a123-8e0b-4802-9875-ac1282efe4fe" TargetMode="External" Id="rId50" /><Relationship Type="http://schemas.openxmlformats.org/officeDocument/2006/relationships/hyperlink" Target="https://www.ifood.com.br/delivery/sao-luis-ma/hamburgueria-blacks-burguer-e-churrasco-cidade-operaria/65783f35-08e2-4102-8fa4-8a8183ac2dc8" TargetMode="External" Id="rId51" /><Relationship Type="http://schemas.openxmlformats.org/officeDocument/2006/relationships/hyperlink" Target="https://www.ifood.com.br/delivery/sao-luis-ma/hamburgueria-rocks-burguer-vila-vicente-fialho/76851aac-3a1a-423e-b493-bfd0623c545f" TargetMode="External" Id="rId52" /><Relationship Type="http://schemas.openxmlformats.org/officeDocument/2006/relationships/hyperlink" Target="https://www.ifood.com.br/delivery/sao-luis-ma/vigore-burger-residencial-vinhais-ii/426b6ea6-5b44-4533-8d09-7bffc53e6919" TargetMode="External" Id="rId53" /><Relationship Type="http://schemas.openxmlformats.org/officeDocument/2006/relationships/hyperlink" Target="https://www.ifood.com.br/delivery/belo-horizonte-mg/hamburgueria-be-de-burguer-artesanal-colegio-batista/ef4ea8bb-4fb4-407d-800d-31abe5351251" TargetMode="External" Id="rId54" /><Relationship Type="http://schemas.openxmlformats.org/officeDocument/2006/relationships/hyperlink" Target="https://www.ifood.com.br/delivery/belo-horizonte-mg/killer-fast-hamburgueria-cidade-nova/c95a2375-64ab-4da2-9a1d-97712af685ad" TargetMode="External" Id="rId55" /><Relationship Type="http://schemas.openxmlformats.org/officeDocument/2006/relationships/hyperlink" Target="https://www.ifood.com.br/delivery/belo-horizonte-mg/seleto-hamburgueria-artesanal---o-melhor-da-regiao-guarani/fcbfc1ff-00fd-4d04-a196-12c75e84710a" TargetMode="External" Id="rId56" /><Relationship Type="http://schemas.openxmlformats.org/officeDocument/2006/relationships/hyperlink" Target="https://www.ifood.com.br/delivery/belo-horizonte-mg/seuburger-smash-sao-pedro/7ecb973d-3100-49f5-99ee-c77fee45b497" TargetMode="External" Id="rId57" /><Relationship Type="http://schemas.openxmlformats.org/officeDocument/2006/relationships/hyperlink" Target="https://www.ifood.com.br/delivery/belo-horizonte-mg/smash-lovers-hamburgueria-serra/357594e6-dd1f-4107-9fc1-c21c615edc6a" TargetMode="External" Id="rId58" /><Relationship Type="http://schemas.openxmlformats.org/officeDocument/2006/relationships/hyperlink" Target="https://www.ifood.com.br/delivery/belo-horizonte-mg/universo-food-bh-o-melhor-hamburguer-de-bh-santa-amelia/0714f0cf-9801-47fb-bc9c-6d677386af08" TargetMode="External" Id="rId59" /><Relationship Type="http://schemas.openxmlformats.org/officeDocument/2006/relationships/hyperlink" Target="https://www.ifood.com.br/delivery/uberaba-mg/mr-smash-burguer-lourdes/a544ea0c-281b-4a35-aa87-ff0b12b01bc8" TargetMode="External" Id="rId60" /><Relationship Type="http://schemas.openxmlformats.org/officeDocument/2006/relationships/hyperlink" Target="https://www.ifood.com.br/delivery/uberlandia-mg/alemanha-burgers---hamburgueria-artesanal----saraiva-saraiva/2656eba6-7256-4389-8902-afcc1957c363" TargetMode="External" Id="rId61" /><Relationship Type="http://schemas.openxmlformats.org/officeDocument/2006/relationships/hyperlink" Target="https://www.ifood.com.br/delivery/uberlandia-mg/the-burger-town---centro-cazeca/4466c691-df95-4f99-97ae-c37dfec51f95" TargetMode="External" Id="rId62" /><Relationship Type="http://schemas.openxmlformats.org/officeDocument/2006/relationships/hyperlink" Target="https://www.ifood.com.br/delivery/uberlandia-mg/tomahawk-burguer-granada/b87086bd-a7e9-449e-a1aa-f8f6fd2ba2cf" TargetMode="External" Id="rId63" /><Relationship Type="http://schemas.openxmlformats.org/officeDocument/2006/relationships/hyperlink" Target="https://www.ifood.com.br/delivery/uberlandia-mg/vintage-burguer---lanches-centro/0e68f69c-ebb4-424e-9906-fc1037b574cb" TargetMode="External" Id="rId64" /><Relationship Type="http://schemas.openxmlformats.org/officeDocument/2006/relationships/hyperlink" Target="https://www.ifood.com.br/delivery/uberlandia-mg/will-smash-burger---hamburgueria-artesanal-alto-umuarama/4848e8a5-bb76-41a8-935e-48a682042b3e" TargetMode="External" Id="rId65" /><Relationship Type="http://schemas.openxmlformats.org/officeDocument/2006/relationships/hyperlink" Target="https://www.ifood.com.br/delivery/uberlandia-mg/zorro-burger---hamburgueria-santa-monica/60101130-1d29-41b4-b492-d1a07325a344" TargetMode="External" Id="rId66" /><Relationship Type="http://schemas.openxmlformats.org/officeDocument/2006/relationships/hyperlink" Target="https://www.ifood.com.br/delivery/unai-mg/betao-lanches-cachoeira/f21ce6d9-d2b0-4860-8de7-b6eab435aa98" TargetMode="External" Id="rId67" /><Relationship Type="http://schemas.openxmlformats.org/officeDocument/2006/relationships/hyperlink" Target="https://www.ifood.com.br/delivery/campo-grande-ms/arena-burger---hamburguer-na-brasa-vila-carlota/07eafab6-dd71-4eb5-a2c1-2c36c7f67fd8" TargetMode="External" Id="rId68" /><Relationship Type="http://schemas.openxmlformats.org/officeDocument/2006/relationships/hyperlink" Target="https://www.ifood.com.br/delivery/campo-grande-ms/burger-pub---hamburgueria-centro/968a2745-a7ee-4e16-ba57-24d8a9439c48" TargetMode="External" Id="rId69" /><Relationship Type="http://schemas.openxmlformats.org/officeDocument/2006/relationships/hyperlink" Target="https://www.ifood.com.br/delivery/campo-grande-ms/chef-burguer-hamburgueria-portal-panama/eafd5348-6105-4b6f-a144-be0c8f08918f" TargetMode="External" Id="rId70" /><Relationship Type="http://schemas.openxmlformats.org/officeDocument/2006/relationships/hyperlink" Target="https://www.ifood.com.br/delivery/campo-grande-ms/make-burgers---hamburgueria-jardim-dos-estados/df8fd151-f889-4d28-bbe1-21feb6b1c0d8" TargetMode="External" Id="rId71" /><Relationship Type="http://schemas.openxmlformats.org/officeDocument/2006/relationships/hyperlink" Target="https://www.ifood.com.br/delivery/campo-grande-ms/nabrasa-burger-jardim-paulista/f6979a03-ce8b-4745-a87f-a9e53d16072f" TargetMode="External" Id="rId72" /><Relationship Type="http://schemas.openxmlformats.org/officeDocument/2006/relationships/hyperlink" Target="https://www.ifood.com.br/delivery/cuiaba-mt/065-hamburgueria-novo-horizonte/8baaf082-fe5b-4453-b6d0-c8b19650c63c" TargetMode="External" Id="rId73" /><Relationship Type="http://schemas.openxmlformats.org/officeDocument/2006/relationships/hyperlink" Target="https://www.ifood.com.br/delivery/cuiaba-mt/blazze-burger---hamburguer-artesanal-morada-do-ouro/b2135c2b-fcc3-4035-8214-cc711c877458" TargetMode="External" Id="rId74" /><Relationship Type="http://schemas.openxmlformats.org/officeDocument/2006/relationships/hyperlink" Target="https://www.ifood.com.br/delivery/cuiaba-mt/blend-hamburgueria-artesanal-popular/189ee5a7-5a80-4a7e-8dd9-c7a7e2656a04" TargetMode="External" Id="rId75" /><Relationship Type="http://schemas.openxmlformats.org/officeDocument/2006/relationships/hyperlink" Target="https://www.ifood.com.br/delivery/cuiaba-mt/burguer-na-praca-popular/0a87f2dc-70e8-4155-b128-cfbd2acc4a58" TargetMode="External" Id="rId76" /><Relationship Type="http://schemas.openxmlformats.org/officeDocument/2006/relationships/hyperlink" Target="https://www.ifood.com.br/delivery/cuiaba-mt/cirinos-smash-burger-morada-dos-nobres/24da78fa-7ddc-4500-a81f-65cfd1c1c4cc" TargetMode="External" Id="rId77" /><Relationship Type="http://schemas.openxmlformats.org/officeDocument/2006/relationships/hyperlink" Target="https://www.ifood.com.br/delivery/cuiaba-mt/hamburgueria-black-burguer-cuiaba-popular/3ffc1850-0846-4dab-88f1-dce825955d61" TargetMode="External" Id="rId78" /><Relationship Type="http://schemas.openxmlformats.org/officeDocument/2006/relationships/hyperlink" Target="https://www.ifood.com.br/delivery/cuiaba-mt/master-burgers-alvorada/e22d08fc-ecba-4c2f-a277-c7d5d0c88361" TargetMode="External" Id="rId79" /><Relationship Type="http://schemas.openxmlformats.org/officeDocument/2006/relationships/hyperlink" Target="https://www.ifood.com.br/delivery/cuiaba-mt/quality-hamburgueria-oficial-jardim-petropolis/ecc9d6f5-6392-4ffd-8b5d-f4289227aea6" TargetMode="External" Id="rId80" /><Relationship Type="http://schemas.openxmlformats.org/officeDocument/2006/relationships/hyperlink" Target="https://www.ifood.com.br/delivery/belem-pa/papachibe-burger-pedreira/90616e55-51e2-4ba2-9663-3a698bb84c3b" TargetMode="External" Id="rId81" /><Relationship Type="http://schemas.openxmlformats.org/officeDocument/2006/relationships/hyperlink" Target="https://www.ifood.com.br/delivery/belem-pa/rusty-burger---hamburgueria-umarizal/59bb119d-aed2-422e-99f6-76f385153bb6" TargetMode="External" Id="rId82" /><Relationship Type="http://schemas.openxmlformats.org/officeDocument/2006/relationships/hyperlink" Target="https://www.ifood.com.br/delivery/belem-pa/shake-burger-hamburgueria-nazare/5fd1ca66-1188-46f4-a823-958a6592aea7" TargetMode="External" Id="rId83" /><Relationship Type="http://schemas.openxmlformats.org/officeDocument/2006/relationships/hyperlink" Target="https://www.ifood.com.br/delivery/belem-pa/smash-point-burger-pedreira/3a6f1e98-7d04-4010-82ed-41e563114068" TargetMode="External" Id="rId84" /><Relationship Type="http://schemas.openxmlformats.org/officeDocument/2006/relationships/hyperlink" Target="https://www.ifood.com.br/delivery/joao-pessoa-pb/burger-in-pack---hamburguer-smash-tambau/1234022b-0a27-4ee5-beb7-6c0511d9c92b" TargetMode="External" Id="rId85" /><Relationship Type="http://schemas.openxmlformats.org/officeDocument/2006/relationships/hyperlink" Target="https://www.ifood.com.br/delivery/joao-pessoa-pb/cabrones-hamburgueria---hamburguer-brisamar/4954962e-1705-4249-938c-be5df0305f01" TargetMode="External" Id="rId86" /><Relationship Type="http://schemas.openxmlformats.org/officeDocument/2006/relationships/hyperlink" Target="https://www.ifood.com.br/delivery/joao-pessoa-pb/grill-burguer---hamburguer-artesanal-jose-americo-de-almeida/fbf736bb-d2c2-46fd-9ea0-b0ef0e1f2445" TargetMode="External" Id="rId87" /><Relationship Type="http://schemas.openxmlformats.org/officeDocument/2006/relationships/hyperlink" Target="https://www.ifood.com.br/delivery/joao-pessoa-pb/home-burger---hamburgueria-manaira/bfdc7e35-d19d-4a4c-a1aa-33e3fcd0c7a7" TargetMode="External" Id="rId88" /><Relationship Type="http://schemas.openxmlformats.org/officeDocument/2006/relationships/hyperlink" Target="https://www.ifood.com.br/delivery/joao-pessoa-pb/royale-burger---hamburgueria-artesanal-mangabeira/4513b913-0c35-41aa-87ab-f3a9f372ef60" TargetMode="External" Id="rId89" /><Relationship Type="http://schemas.openxmlformats.org/officeDocument/2006/relationships/hyperlink" Target="https://www.ifood.com.br/delivery/joao-pessoa-pb/smash-hamburguer-artesanal-jardim-oceania/f07b94fc-aa84-4d7b-9e75-47bc935086d0" TargetMode="External" Id="rId90" /><Relationship Type="http://schemas.openxmlformats.org/officeDocument/2006/relationships/hyperlink" Target="https://www.ifood.com.br/delivery/joao-pessoa-pb/squeeze-burger---hamburguer-smash-manaira/c9ee829f-d23b-4b3e-9b5a-bf24b6311f05" TargetMode="External" Id="rId91" /><Relationship Type="http://schemas.openxmlformats.org/officeDocument/2006/relationships/hyperlink" Target="https://www.ifood.com.br/delivery/joao-pessoa-pb/the-lab-burgers---hamburguer-artesanal-bancarios/ab7cec64-8945-4b79-9c99-4ba9534cee3c" TargetMode="External" Id="rId92" /><Relationship Type="http://schemas.openxmlformats.org/officeDocument/2006/relationships/hyperlink" Target="https://www.ifood.com.br/delivery/joao-pessoa-pb/west-burger---hamburguer--smash-tambauzinho/c72c0279-63bf-40a3-a842-a4db1b169cc8" TargetMode="External" Id="rId93" /><Relationship Type="http://schemas.openxmlformats.org/officeDocument/2006/relationships/hyperlink" Target="https://www.ifood.com.br/delivery/olinda-pe/404-burger--fries-vila-popular/1244f0be-34f7-42b5-9d40-615995d25255" TargetMode="External" Id="rId94" /><Relationship Type="http://schemas.openxmlformats.org/officeDocument/2006/relationships/hyperlink" Target="https://www.ifood.com.br/delivery/recife-pe/bora-burger---hamburgeria-artesanal-varzea/ac355155-c553-460f-88e3-460290b5a40a" TargetMode="External" Id="rId95" /><Relationship Type="http://schemas.openxmlformats.org/officeDocument/2006/relationships/hyperlink" Target="https://www.ifood.com.br/delivery/recife-pe/burguer-mania---hamburgueria-iputinga/0d129680-0710-4759-8ad1-be221937e27f" TargetMode="External" Id="rId96" /><Relationship Type="http://schemas.openxmlformats.org/officeDocument/2006/relationships/hyperlink" Target="https://www.ifood.com.br/delivery/recife-pe/conceito-burger-ipsep/c960eaf5-8b90-4cc6-804d-8e6ffd055906" TargetMode="External" Id="rId97" /><Relationship Type="http://schemas.openxmlformats.org/officeDocument/2006/relationships/hyperlink" Target="https://www.ifood.com.br/delivery/recife-pe/hamburgueria-maria-bonita-nova-descoberta/962bb432-2d56-4f5a-b318-93a73da797f7" TargetMode="External" Id="rId98" /><Relationship Type="http://schemas.openxmlformats.org/officeDocument/2006/relationships/hyperlink" Target="https://www.ifood.com.br/delivery/recife-pe/hype-burger---hamburguer-artesanal-campina-do-barreto/8a42e998-b436-4b64-bf14-beefed3e8231" TargetMode="External" Id="rId99" /><Relationship Type="http://schemas.openxmlformats.org/officeDocument/2006/relationships/hyperlink" Target="https://www.ifood.com.br/delivery/recife-pe/mister-ed-smash-burguer-iputinga/87082110-1c18-4830-b676-b08450152d69" TargetMode="External" Id="rId100" /><Relationship Type="http://schemas.openxmlformats.org/officeDocument/2006/relationships/hyperlink" Target="https://www.ifood.com.br/delivery/recife-pe/mooo-hamburgueria-gourmet-e-saladaria-boa-viagem/63c2c50f-b008-48a7-a121-3d19d7ef4b87" TargetMode="External" Id="rId101" /><Relationship Type="http://schemas.openxmlformats.org/officeDocument/2006/relationships/hyperlink" Target="https://www.ifood.com.br/delivery/recife-pe/pahoa-burguer---hamburguer-artesanal-boa-viagem/52631e91-8aa0-4add-a45d-735e6fec14a5" TargetMode="External" Id="rId102" /><Relationship Type="http://schemas.openxmlformats.org/officeDocument/2006/relationships/hyperlink" Target="https://www.ifood.com.br/delivery/teresina-pi/45-burger---joquei-ininga/15c762a0-c435-4b0a-8d66-ace69af254ff" TargetMode="External" Id="rId103" /><Relationship Type="http://schemas.openxmlformats.org/officeDocument/2006/relationships/hyperlink" Target="https://www.ifood.com.br/delivery/teresina-pi/alecrim-hamburgueria-joquei/d93730e3-089f-4745-a87d-3d6bb505ed92" TargetMode="External" Id="rId104" /><Relationship Type="http://schemas.openxmlformats.org/officeDocument/2006/relationships/hyperlink" Target="https://www.ifood.com.br/delivery/teresina-pi/dom-gourmet-hamburgueria-e-pastelaria-dirceu-i/0951de67-c0a6-4ee7-93b2-3e29d0318b0a" TargetMode="External" Id="rId105" /><Relationship Type="http://schemas.openxmlformats.org/officeDocument/2006/relationships/hyperlink" Target="https://www.ifood.com.br/delivery/curitiba-pr/bun-burgers---ultra-smash-burger-juveve/0c88d5b5-9190-4b14-ab0f-486128ec055c" TargetMode="External" Id="rId106" /><Relationship Type="http://schemas.openxmlformats.org/officeDocument/2006/relationships/hyperlink" Target="https://www.ifood.com.br/delivery/curitiba-pr/baratissimo-smash-burgers---no-precinho-juveve/468c388c-b547-4cf3-b039-0fc5b4ba67ea" TargetMode="External" Id="rId107" /><Relationship Type="http://schemas.openxmlformats.org/officeDocument/2006/relationships/hyperlink" Target="https://www.ifood.com.br/delivery/curitiba-pr/cwb-burguer---hamburgueria-smash-campo-de-santana/76af4fe8-ba54-4365-986c-71ffb22ad991" TargetMode="External" Id="rId108" /><Relationship Type="http://schemas.openxmlformats.org/officeDocument/2006/relationships/hyperlink" Target="https://www.ifood.com.br/delivery/curitiba-pr/dois-palito-smash-burger---sao-lourenco-hamburgueria-sao-lourenco/c18bb714-5df5-4ad0-8d28-19ef517f48d7" TargetMode="External" Id="rId109" /><Relationship Type="http://schemas.openxmlformats.org/officeDocument/2006/relationships/hyperlink" Target="https://www.ifood.com.br/delivery/curitiba-pr/hamburgueria--crazy-burger-uberaba/4847da9f-d30c-4428-a871-b16dd5d18b6a" TargetMode="External" Id="rId110" /><Relationship Type="http://schemas.openxmlformats.org/officeDocument/2006/relationships/hyperlink" Target="https://www.ifood.com.br/delivery/curitiba-pr/lets--smash-burger-no-precinho---agua-verde-agua-verde/55da165a-88fa-4970-a39c-55124063d9ff" TargetMode="External" Id="rId111" /><Relationship Type="http://schemas.openxmlformats.org/officeDocument/2006/relationships/hyperlink" Target="https://www.ifood.com.br/delivery/curitiba-pr/maria-fumaca-burger-smash-e-defumado---hamburgueria-reboucas/e6691538-3a24-4513-8ad6-f3aba12a764a" TargetMode="External" Id="rId112" /><Relationship Type="http://schemas.openxmlformats.org/officeDocument/2006/relationships/hyperlink" Target="https://www.ifood.com.br/delivery/curitiba-pr/pilgrim-bar--smash-burgers-batel/f7d3390a-a976-4432-bbfe-37b9726e19df" TargetMode="External" Id="rId113" /><Relationship Type="http://schemas.openxmlformats.org/officeDocument/2006/relationships/hyperlink" Target="https://www.ifood.com.br/delivery/curitiba-pr/supremo-burger-cwb---hamburgueria-agua-verde/ea339ca5-bfee-4431-8602-d3e09788026b" TargetMode="External" Id="rId114" /><Relationship Type="http://schemas.openxmlformats.org/officeDocument/2006/relationships/hyperlink" Target="https://www.ifood.com.br/delivery/londrina-pr/77-hamburgueria-gleba-fazenda-palhano/55b06664-5d95-4493-84de-2ece2722560a" TargetMode="External" Id="rId115" /><Relationship Type="http://schemas.openxmlformats.org/officeDocument/2006/relationships/hyperlink" Target="https://www.ifood.com.br/delivery/londrina-pr/general-hamburgueria-conjunto-vivi-xavier/f58a53cd-5623-46bf-82d2-5ae2bc7c0be5" TargetMode="External" Id="rId116" /><Relationship Type="http://schemas.openxmlformats.org/officeDocument/2006/relationships/hyperlink" Target="https://www.ifood.com.br/delivery/londrina-pr/hamburgueria-elite-burger-centro/e647abd0-b2a4-4d83-91b2-a559f028b741" TargetMode="External" Id="rId117" /><Relationship Type="http://schemas.openxmlformats.org/officeDocument/2006/relationships/hyperlink" Target="https://www.ifood.com.br/delivery/londrina-pr/o-burgues---burger-londrina-gleba-fazenda-palhano/6744adbf-781b-45dc-af91-ce2549151fce" TargetMode="External" Id="rId118" /><Relationship Type="http://schemas.openxmlformats.org/officeDocument/2006/relationships/hyperlink" Target="https://www.ifood.com.br/delivery/londrina-pr/santo-burger---hamburguer--lanches-boa-vista/471a45ad-b1bc-466f-a0d3-67124d599a16" TargetMode="External" Id="rId119" /><Relationship Type="http://schemas.openxmlformats.org/officeDocument/2006/relationships/hyperlink" Target="https://www.ifood.com.br/delivery/londrina-pr/the-burgers-centro/ef9e76fc-0093-45ce-b9b3-ccd83c3bd1ab" TargetMode="External" Id="rId120" /><Relationship Type="http://schemas.openxmlformats.org/officeDocument/2006/relationships/hyperlink" Target="https://www.ifood.com.br/delivery/londrina-pr/top-burger-jardim-higienopolis/049d4c96-73b8-44d1-8a9b-c0e8340fa801" TargetMode="External" Id="rId121" /><Relationship Type="http://schemas.openxmlformats.org/officeDocument/2006/relationships/hyperlink" Target="https://www.ifood.com.br/delivery/londrina-pr/smash-prime-burger-universitario/ec5709c0-248b-4477-973d-68d3aa7eaf73" TargetMode="External" Id="rId122" /><Relationship Type="http://schemas.openxmlformats.org/officeDocument/2006/relationships/hyperlink" Target="https://www.ifood.com.br/delivery/rio-de-janeiro-rj/artesanos-hamburgueria-artesanal-vila-isabel/2c419f55-ee2b-429c-925c-90aa9a03eae4" TargetMode="External" Id="rId123" /><Relationship Type="http://schemas.openxmlformats.org/officeDocument/2006/relationships/hyperlink" Target="https://www.ifood.com.br/delivery/rio-de-janeiro-rj/baps-burguer---hamburgueria-artesanal-penha/15f5c9b3-121e-4f14-9630-3d1f643b6db9" TargetMode="External" Id="rId124" /><Relationship Type="http://schemas.openxmlformats.org/officeDocument/2006/relationships/hyperlink" Target="https://www.ifood.com.br/delivery/rio-de-janeiro-rj/burger-house---hamburgueria-artesanal-paciencia/7e6f65db-641a-44f5-a891-52957deacfaf" TargetMode="External" Id="rId125" /><Relationship Type="http://schemas.openxmlformats.org/officeDocument/2006/relationships/hyperlink" Target="https://www.ifood.com.br/delivery/rio-de-janeiro-rj/gamers-burger-hamburgueria-artesanal-curicica/936f898f-eea2-4e90-8113-dda866af9612" TargetMode="External" Id="rId126" /><Relationship Type="http://schemas.openxmlformats.org/officeDocument/2006/relationships/hyperlink" Target="https://www.ifood.com.br/delivery/rio-de-janeiro-rj/gastro-house-hamburgueria-artesanal-engenho-novo/8f85ec66-f53b-42ee-b3e9-54311ed299e0" TargetMode="External" Id="rId127" /><Relationship Type="http://schemas.openxmlformats.org/officeDocument/2006/relationships/hyperlink" Target="https://www.ifood.com.br/delivery/rio-de-janeiro-rj/hamburgueria-sa---burger-artesanal-centro/106bed4b-5c15-4ab6-baea-81237ae3b1c3" TargetMode="External" Id="rId128" /><Relationship Type="http://schemas.openxmlformats.org/officeDocument/2006/relationships/hyperlink" Target="https://www.ifood.com.br/delivery/rio-de-janeiro-rj/hamburguesia---hamburguer-artesanal-todos-os-santos/dbba4258-f90a-420a-bea2-d0c837514128" TargetMode="External" Id="rId129" /><Relationship Type="http://schemas.openxmlformats.org/officeDocument/2006/relationships/hyperlink" Target="https://www.ifood.com.br/delivery/rio-de-janeiro-rj/real-burguer---hamburguer-artesanal-olaria/2f9492f2-bb76-4a23-a0fe-82df45e7366c" TargetMode="External" Id="rId130" /><Relationship Type="http://schemas.openxmlformats.org/officeDocument/2006/relationships/hyperlink" Target="https://www.ifood.com.br/delivery/rio-de-janeiro-rj/street-hamburgueria-artesanal-inhoaiba/f3f0d43e-4ec2-497a-bb75-ef0c89395c68" TargetMode="External" Id="rId131" /><Relationship Type="http://schemas.openxmlformats.org/officeDocument/2006/relationships/hyperlink" Target="https://www.ifood.com.br/delivery/rio-de-janeiro-rj/tartaros-hamburgueria-artesanal-grajau/7803e685-9ed1-4df6-a145-59082a27f97a" TargetMode="External" Id="rId132" /><Relationship Type="http://schemas.openxmlformats.org/officeDocument/2006/relationships/hyperlink" Target="https://www.ifood.com.br/delivery/natal-rn/galaxy-smash-burger-neopolis/b909db66-41e2-4928-ab47-cd889e904752" TargetMode="External" Id="rId133" /><Relationship Type="http://schemas.openxmlformats.org/officeDocument/2006/relationships/hyperlink" Target="https://www.ifood.com.br/delivery/natal-rn/nogueirinhas-burger-barro-vermelho/8c1de63e-aac5-4dd2-8b11-b6affa55fe17" TargetMode="External" Id="rId134" /><Relationship Type="http://schemas.openxmlformats.org/officeDocument/2006/relationships/hyperlink" Target="https://www.ifood.com.br/delivery/natal-rn/pastelanche-lagoa-nova-pastelhamburguer-tirol/10a8a7d1-1a03-408d-a54e-aae48442800f" TargetMode="External" Id="rId135" /><Relationship Type="http://schemas.openxmlformats.org/officeDocument/2006/relationships/hyperlink" Target="https://www.ifood.com.br/delivery/porto-velho-ro/broken-burger-olaria/60580d1a-ff55-47d8-a972-c137f836442e" TargetMode="External" Id="rId136" /><Relationship Type="http://schemas.openxmlformats.org/officeDocument/2006/relationships/hyperlink" Target="https://www.ifood.com.br/delivery/porto-velho-ro/burger-bros-hamburgueria-pedrinhas/7ca966e7-312e-4525-8129-2f43e338bbcd" TargetMode="External" Id="rId137" /><Relationship Type="http://schemas.openxmlformats.org/officeDocument/2006/relationships/hyperlink" Target="https://www.ifood.com.br/delivery/porto-velho-ro/routes-hamburgueria-igarape/6b7127b5-c559-46ff-a173-275fe5baaf8e" TargetMode="External" Id="rId138" /><Relationship Type="http://schemas.openxmlformats.org/officeDocument/2006/relationships/hyperlink" Target="https://www.ifood.com.br/delivery/porto-velho-ro/speciality-burguer-hamburgueria-artesanal-embratel/2a3c1aa4-dcf1-4ab9-abbe-1ea0b74babcb" TargetMode="External" Id="rId139" /><Relationship Type="http://schemas.openxmlformats.org/officeDocument/2006/relationships/hyperlink" Target="https://www.ifood.com.br/delivery/porto-velho-ro/velho-burger-hamburgueria-areal/ff09f53d-5d48-42c4-86b5-7fba77c4cdba" TargetMode="External" Id="rId140" /><Relationship Type="http://schemas.openxmlformats.org/officeDocument/2006/relationships/hyperlink" Target="https://www.ifood.com.br/delivery/boa-vista-rr/dburger-mecejana/17ce5740-1ae6-4fb1-b47e-f7e54c0b2713" TargetMode="External" Id="rId141" /><Relationship Type="http://schemas.openxmlformats.org/officeDocument/2006/relationships/hyperlink" Target="https://www.ifood.com.br/delivery/boa-vista-rr/hamburgueria-244-buritis/0a5390d8-7083-4ea9-af31-4a5e4b3c31b5" TargetMode="External" Id="rId142" /><Relationship Type="http://schemas.openxmlformats.org/officeDocument/2006/relationships/hyperlink" Target="https://www.ifood.com.br/delivery/erechim-rs/peppers-burger-centro/c69fa738-f1e8-4acd-b0a8-a33463a13e64" TargetMode="External" Id="rId143" /><Relationship Type="http://schemas.openxmlformats.org/officeDocument/2006/relationships/hyperlink" Target="https://www.ifood.com.br/delivery/porto-alegre-rs/master-smash-burger-tristeza/38da2932-e302-472d-844d-b844ecdf6ea1" TargetMode="External" Id="rId144" /><Relationship Type="http://schemas.openxmlformats.org/officeDocument/2006/relationships/hyperlink" Target="https://www.ifood.com.br/delivery/porto-alegre-rs/porto-burger-hamburguer-xis-porto-alegre-mont39serrat/55b5cb11-607e-4296-9da4-98f4e7f14244" TargetMode="External" Id="rId145" /><Relationship Type="http://schemas.openxmlformats.org/officeDocument/2006/relationships/hyperlink" Target="https://www.ifood.com.br/delivery/porto-alegre-rs/pretti-hamburgueria---smash-burger-partenon/0e795a4a-c279-409c-8511-2155546ec8b7" TargetMode="External" Id="rId146" /><Relationship Type="http://schemas.openxmlformats.org/officeDocument/2006/relationships/hyperlink" Target="https://www.ifood.com.br/delivery/porto-alegre-rs/smash-burger-poa-boa-vista/915c0036-bd66-4689-8070-b55ab4ff703f" TargetMode="External" Id="rId147" /><Relationship Type="http://schemas.openxmlformats.org/officeDocument/2006/relationships/hyperlink" Target="https://www.ifood.com.br/delivery/porto-alegre-rs/xis-flip---xis--smash-burger-moinhos-de-vento/b4bca42f-deaf-4785-9c15-627181bf0cf7" TargetMode="External" Id="rId148" /><Relationship Type="http://schemas.openxmlformats.org/officeDocument/2006/relationships/hyperlink" Target="https://www.ifood.com.br/delivery/florianopolis-sc/billy-king-hamburgueria-campeche-central/1a8f0fea-2308-45d6-bd28-f5958e573bca" TargetMode="External" Id="rId149" /><Relationship Type="http://schemas.openxmlformats.org/officeDocument/2006/relationships/hyperlink" Target="https://www.ifood.com.br/delivery/florianopolis-sc/flaty-burger-canasvieiras/91a618bc-cb33-4505-8aa5-22f2d22c4f1f" TargetMode="External" Id="rId150" /><Relationship Type="http://schemas.openxmlformats.org/officeDocument/2006/relationships/hyperlink" Target="https://www.ifood.com.br/delivery/florianopolis-sc/floripa-burgers-jurere/e29a2dbc-504c-4e0a-be24-f4ad663ab5c1" TargetMode="External" Id="rId151" /><Relationship Type="http://schemas.openxmlformats.org/officeDocument/2006/relationships/hyperlink" Target="https://www.ifood.com.br/delivery/florianopolis-sc/floripa-porcoes--lanches-agronomica/19732140-289c-4346-a27a-07d9461f9fb4" TargetMode="External" Id="rId152" /><Relationship Type="http://schemas.openxmlformats.org/officeDocument/2006/relationships/hyperlink" Target="https://www.ifood.com.br/delivery/florianopolis-sc/smash-beef-burger-campeche/f27dbcfd-5558-47f0-b699-038e19a9911c" TargetMode="External" Id="rId153" /><Relationship Type="http://schemas.openxmlformats.org/officeDocument/2006/relationships/hyperlink" Target="https://www.ifood.com.br/delivery/florianopolis-sc/smash-king-pantanal/3ec78f8c-ba9d-4335-b2e5-85e9e1d94740" TargetMode="External" Id="rId154" /><Relationship Type="http://schemas.openxmlformats.org/officeDocument/2006/relationships/hyperlink" Target="https://www.ifood.com.br/delivery/florianopolis-sc/tijuana-burger---hamburguer-lagoa-lagoa-da-conceicao/5cf36c66-6c09-46a7-8fe8-e255faf8bedc" TargetMode="External" Id="rId155" /><Relationship Type="http://schemas.openxmlformats.org/officeDocument/2006/relationships/hyperlink" Target="https://www.ifood.com.br/delivery/joinville-sc/burger-craft-rustic-hamburgueria-angus-e-vegetais-america/c98cf784-ebce-4542-9a57-72eaa2d97a3d" TargetMode="External" Id="rId156" /><Relationship Type="http://schemas.openxmlformats.org/officeDocument/2006/relationships/hyperlink" Target="https://www.ifood.com.br/delivery/joinville-sc/focas-burger---joinville-bucarein/331a7510-071f-496e-bfeb-80153c3a59e5" TargetMode="External" Id="rId157" /><Relationship Type="http://schemas.openxmlformats.org/officeDocument/2006/relationships/hyperlink" Target="https://www.ifood.com.br/delivery/joinville-sc/hamburgueria-buenos-delivery-fatima/f84c5880-87a9-4185-b2de-462c5ba0194c" TargetMode="External" Id="rId158" /><Relationship Type="http://schemas.openxmlformats.org/officeDocument/2006/relationships/hyperlink" Target="https://www.ifood.com.br/delivery/joinville-sc/js-bs-costa-e-silva/a158d810-d720-4859-b05e-da180ea7822c" TargetMode="External" Id="rId159" /><Relationship Type="http://schemas.openxmlformats.org/officeDocument/2006/relationships/hyperlink" Target="https://www.ifood.com.br/delivery/joinville-sc/nacoes-smash-burger----hamburguer-artesanal-e-lanches-zona-industrial-norte/c780cf35-0308-4a19-8b5b-2a505460824e" TargetMode="External" Id="rId160" /><Relationship Type="http://schemas.openxmlformats.org/officeDocument/2006/relationships/hyperlink" Target="https://www.ifood.com.br/delivery/joinville-sc/saint-burger---hamburgueria-artesanal-costa-e-silva/3e55e5af-6d9f-408a-bad9-856683b8629f" TargetMode="External" Id="rId161" /><Relationship Type="http://schemas.openxmlformats.org/officeDocument/2006/relationships/hyperlink" Target="https://www.ifood.com.br/delivery/joinville-sc/start-burger-e-beer-atiradores/a9b77ca1-bb63-48f5-90a4-f961422492e0" TargetMode="External" Id="rId162" /><Relationship Type="http://schemas.openxmlformats.org/officeDocument/2006/relationships/hyperlink" Target="https://www.ifood.com.br/delivery/joinville-sc/tom-burger---hamburgueria-petropolis/09064a4b-fcde-4602-b2dd-66b3ee74f4a7" TargetMode="External" Id="rId163" /><Relationship Type="http://schemas.openxmlformats.org/officeDocument/2006/relationships/hyperlink" Target="https://www.ifood.com.br/delivery/sao-jose-sc/carne-de-panela-bagueteria--smash-burger-ipiranga/0b7fe417-e0e6-41e0-a5ae-694ac50350e2" TargetMode="External" Id="rId164" /><Relationship Type="http://schemas.openxmlformats.org/officeDocument/2006/relationships/hyperlink" Target="https://www.ifood.com.br/delivery/tijucas-sc/iburger-hamburgueria-areias/ff86a093-602c-4d85-9115-f71338752cfa" TargetMode="External" Id="rId165" /><Relationship Type="http://schemas.openxmlformats.org/officeDocument/2006/relationships/hyperlink" Target="https://www.ifood.com.br/delivery/aracaju-se/blend-burger-circus-foodpark-jardins/dcfaf55a-759c-4f10-b5bc-8f86e64991fa" TargetMode="External" Id="rId166" /><Relationship Type="http://schemas.openxmlformats.org/officeDocument/2006/relationships/hyperlink" Target="https://www.ifood.com.br/delivery/aracaju-se/burger--cia-gourmet---orla-atalaia/bf8fe157-7ec4-4976-b6f1-53d92ae389ff" TargetMode="External" Id="rId167" /><Relationship Type="http://schemas.openxmlformats.org/officeDocument/2006/relationships/hyperlink" Target="https://www.ifood.com.br/delivery/aracaju-se/churras-burguer-aeroporto/71937de1-0644-4b68-8cde-3f6b93b50111" TargetMode="External" Id="rId168" /><Relationship Type="http://schemas.openxmlformats.org/officeDocument/2006/relationships/hyperlink" Target="https://www.ifood.com.br/delivery/aracaju-se/hamburgueria-brothers-burguer-coroa-do-meio/ae7fd3fa-0732-4dbb-8085-8333c27428c1" TargetMode="External" Id="rId169" /><Relationship Type="http://schemas.openxmlformats.org/officeDocument/2006/relationships/hyperlink" Target="https://www.ifood.com.br/delivery/aracaju-se/scape-burger-jabotiana/ad8eb515-8075-44ef-aecf-6f21be3636f1" TargetMode="External" Id="rId170" /><Relationship Type="http://schemas.openxmlformats.org/officeDocument/2006/relationships/hyperlink" Target="https://www.ifood.com.br/delivery/aracaju-se/revo-burger-13-de-julho/31c0a596-da64-4e10-a5fd-4dd705881d60" TargetMode="External" Id="rId171" /><Relationship Type="http://schemas.openxmlformats.org/officeDocument/2006/relationships/hyperlink" Target="https://www.ifood.com.br/delivery/aracaju-se/the-sandwich--suica--hamburguer-smash-artesanal-suissa/d4d55377-081f-4255-a2de-ef7bad53f816" TargetMode="External" Id="rId172" /><Relationship Type="http://schemas.openxmlformats.org/officeDocument/2006/relationships/hyperlink" Target="https://www.ifood.com.br/delivery/araras-sp/ape-burguer-vila-pastorello/66cf3922-ad99-4afe-80f8-ec11aad92158" TargetMode="External" Id="rId173" /><Relationship Type="http://schemas.openxmlformats.org/officeDocument/2006/relationships/hyperlink" Target="https://www.ifood.com.br/delivery/campinas-sp/butcher-super-smash-cambui/fa69e760-732c-416e-a92b-61a58e78929f" TargetMode="External" Id="rId174" /><Relationship Type="http://schemas.openxmlformats.org/officeDocument/2006/relationships/hyperlink" Target="https://www.ifood.com.br/delivery/campinas-sp/cunhados-burger---hamburgueria-artesanal-vila-aeroporto-i/da643bd3-2882-495b-81ad-95579a8bd0aa" TargetMode="External" Id="rId175" /><Relationship Type="http://schemas.openxmlformats.org/officeDocument/2006/relationships/hyperlink" Target="https://www.ifood.com.br/delivery/campinas-sp/hamburgueria-mirantes-burger-centro/4a76b477-bc4c-44ff-bebc-7e97f6f067e0" TargetMode="External" Id="rId176" /><Relationship Type="http://schemas.openxmlformats.org/officeDocument/2006/relationships/hyperlink" Target="https://www.ifood.com.br/delivery/campinas-sp/hamburgueria-tosco-garage-jardim-garcia/e8c15078-5e3e-4a25-98fa-de0e38837ea3" TargetMode="External" Id="rId177" /><Relationship Type="http://schemas.openxmlformats.org/officeDocument/2006/relationships/hyperlink" Target="https://www.ifood.com.br/delivery/campinas-sp/mister-chapa-burger-e-smash-taquaral/8003c2a7-974f-40db-9e56-df2bd404182f" TargetMode="External" Id="rId178" /><Relationship Type="http://schemas.openxmlformats.org/officeDocument/2006/relationships/hyperlink" Target="https://www.ifood.com.br/delivery/campinas-sp/smash-b-burger---taquaral-jardim-nossa-senhora-auxiliadora/53660d89-6403-470b-8d7e-96983c3b10b5" TargetMode="External" Id="rId179" /><Relationship Type="http://schemas.openxmlformats.org/officeDocument/2006/relationships/hyperlink" Target="https://www.ifood.com.br/delivery/campinas-sp/smash-boss-hamburgueria-taquaral/3b622f2d-31eb-4218-b67f-bb6a64565160" TargetMode="External" Id="rId180" /><Relationship Type="http://schemas.openxmlformats.org/officeDocument/2006/relationships/hyperlink" Target="https://www.ifood.com.br/delivery/campinas-sp/tesla-smash-burger-parque-taquaral/f82e79b4-70bc-458f-b420-8406a30e9826" TargetMode="External" Id="rId181" /><Relationship Type="http://schemas.openxmlformats.org/officeDocument/2006/relationships/hyperlink" Target="https://www.ifood.com.br/delivery/franco-da-rocha-sp/rota-66-burger-estancia-lago-azul/bf27db73-ffd8-4ac0-8603-31eaafcab6f8" TargetMode="External" Id="rId182" /><Relationship Type="http://schemas.openxmlformats.org/officeDocument/2006/relationships/hyperlink" Target="https://www.ifood.com.br/delivery/lorena-sp/burger-grill-bg-lorena-vila-nunes/a463c9de-4960-436c-92c0-5f73a1776f77" TargetMode="External" Id="rId183" /><Relationship Type="http://schemas.openxmlformats.org/officeDocument/2006/relationships/hyperlink" Target="https://www.ifood.com.br/delivery/ribeirao-preto-sp/berro-burguer-hamburgueria-especialista-centro/8dc67f93-7d27-4392-8074-8919b7cd717c" TargetMode="External" Id="rId184" /><Relationship Type="http://schemas.openxmlformats.org/officeDocument/2006/relationships/hyperlink" Target="https://www.ifood.com.br/delivery/ribeirao-preto-sp/dex-hamburgueria-independencia/3ddef4fe-66a3-4019-84b2-d3de1745ee06" TargetMode="External" Id="rId185" /><Relationship Type="http://schemas.openxmlformats.org/officeDocument/2006/relationships/hyperlink" Target="https://www.ifood.com.br/delivery/ribeirao-preto-sp/lanche-jambs-burger--hamburguer-smash--parque-ribeirao-preto/7e0a8d01-498e-46f5-8883-125e799a0b7f" TargetMode="External" Id="rId186" /><Relationship Type="http://schemas.openxmlformats.org/officeDocument/2006/relationships/hyperlink" Target="https://www.ifood.com.br/delivery/ribeirao-preto-sp/new-york-smash-burger-vila-virginia/f5bce703-8f09-41f1-bf45-647c64417016" TargetMode="External" Id="rId187" /><Relationship Type="http://schemas.openxmlformats.org/officeDocument/2006/relationships/hyperlink" Target="https://www.ifood.com.br/delivery/ribeirao-preto-sp/smash-burger-centro/ee4bf269-c17a-46cc-b806-b7935343abbc" TargetMode="External" Id="rId188" /><Relationship Type="http://schemas.openxmlformats.org/officeDocument/2006/relationships/hyperlink" Target="https://www.ifood.com.br/delivery/ribeirao-preto-sp/hamburgueria---smashtheking-jardim-interlagos/06d6831e-05de-41b5-b349-6e1cd72c76ca" TargetMode="External" Id="rId189" /><Relationship Type="http://schemas.openxmlformats.org/officeDocument/2006/relationships/hyperlink" Target="https://www.ifood.com.br/delivery/ribeirao-preto-sp/tasca-burger---hamburgueria-jardim-sumare/ae7cb0b9-abcd-4e2b-81d1-5c9b0b606a42" TargetMode="External" Id="rId190" /><Relationship Type="http://schemas.openxmlformats.org/officeDocument/2006/relationships/hyperlink" Target="https://www.ifood.com.br/delivery/santo-andre-sp/bom-beef-burgers-hamburgueria---abc---netao-jardim/6e44205c-c3a7-4704-a958-90fa3dcf1e02" TargetMode="External" Id="rId191" /><Relationship Type="http://schemas.openxmlformats.org/officeDocument/2006/relationships/hyperlink" Target="https://www.ifood.com.br/delivery/sao-bernardo-do-campo-sp/t-burgerz-hamburgueria-jardim-independencia/51d77633-d6fc-4ab9-9b15-a27735fd7619" TargetMode="External" Id="rId192" /><Relationship Type="http://schemas.openxmlformats.org/officeDocument/2006/relationships/hyperlink" Target="https://www.ifood.com.br/delivery/sao-joao-da-boa-vista-sp/burger-time---hamburgueria-lanches--dog-vila-brasil/f5f3720d-1c73-4734-8f5f-9400a3c31c49" TargetMode="External" Id="rId193" /><Relationship Type="http://schemas.openxmlformats.org/officeDocument/2006/relationships/hyperlink" Target="https://www.ifood.com.br/delivery/sao-joao-da-boa-vista-sp/garden-gourmet-hamburgueria-sao-lazaro/7783748b-ac42-476d-8064-73101c8eeae9" TargetMode="External" Id="rId194" /><Relationship Type="http://schemas.openxmlformats.org/officeDocument/2006/relationships/hyperlink" Target="https://www.ifood.com.br/delivery/sao-paulo-sp/the-brothers-burger---unidade-ii-vila-mascote/d8b6c199-06f1-46f8-8fe3-713a460dd8f1" TargetMode="External" Id="rId195" /><Relationship Type="http://schemas.openxmlformats.org/officeDocument/2006/relationships/hyperlink" Target="https://www.ifood.com.br/delivery/sao-paulo-sp/burgers-house---hamburgueria-artesanal-mooca/3632e64c-1c32-48f5-9209-823d46f5e0bd" TargetMode="External" Id="rId196" /><Relationship Type="http://schemas.openxmlformats.org/officeDocument/2006/relationships/hyperlink" Target="https://www.ifood.com.br/delivery/sao-paulo-sp/dinos-smash-burger---hamburgueria-chacara-belenzinho/f33c57a0-9d5e-4c7c-bade-7c277dce10aa" TargetMode="External" Id="rId197" /><Relationship Type="http://schemas.openxmlformats.org/officeDocument/2006/relationships/hyperlink" Target="https://www.ifood.com.br/delivery/sao-paulo-sp/guimis-burguer---tatuape-vila-regente-feijo/b5f8502a-33c6-4dcd-be81-60e8e8fb29a9" TargetMode="External" Id="rId198" /><Relationship Type="http://schemas.openxmlformats.org/officeDocument/2006/relationships/hyperlink" Target="https://www.ifood.com.br/delivery/sao-paulo-sp/hamburgueria-6019-australian-burger-carandiru/de4dbbb0-f345-4315-bec6-a3463287f20f" TargetMode="External" Id="rId199" /><Relationship Type="http://schemas.openxmlformats.org/officeDocument/2006/relationships/hyperlink" Target="https://www.ifood.com.br/delivery/sao-paulo-sp/hamburgueria-artesanal---smash-burger-jardim-da-pedreira/a83143f2-6fab-41df-9b37-60f17ef721db" TargetMode="External" Id="rId200" /><Relationship Type="http://schemas.openxmlformats.org/officeDocument/2006/relationships/hyperlink" Target="https://www.ifood.com.br/delivery/sao-paulo-sp/hamburgueria-burgao-zona-leste-parque-paulistano/55b933a5-817d-47ad-8569-01862cbab48a" TargetMode="External" Id="rId201" /><Relationship Type="http://schemas.openxmlformats.org/officeDocument/2006/relationships/hyperlink" Target="https://www.ifood.com.br/delivery/sao-paulo-sp/hamburgueria-tag-burger-paraiso/30999d7a-9aa4-4e8e-b0d4-1ebcd3ea4db2" TargetMode="External" Id="rId202" /><Relationship Type="http://schemas.openxmlformats.org/officeDocument/2006/relationships/hyperlink" Target="https://www.ifood.com.br/delivery/sao-paulo-sp/hamburgueria-tradi-tatuape-vila-gomes-cardim/f695dcb2-f58c-472d-b835-bc76a3713f0b" TargetMode="External" Id="rId203" /><Relationship Type="http://schemas.openxmlformats.org/officeDocument/2006/relationships/hyperlink" Target="https://www.ifood.com.br/delivery/sao-paulo-sp/hamburgueria-ze-burguer-jardim-brasilia-zona-leste/6798ab34-ac32-4334-b386-9418205d3a0f" TargetMode="External" Id="rId204" /><Relationship Type="http://schemas.openxmlformats.org/officeDocument/2006/relationships/hyperlink" Target="https://www.ifood.com.br/delivery/sao-paulo-sp/holy-smash-burguer-vila-bertioga/c23a05a8-c7b0-4b78-af2f-c11fc328190f" TargetMode="External" Id="rId205" /><Relationship Type="http://schemas.openxmlformats.org/officeDocument/2006/relationships/hyperlink" Target="https://www.ifood.com.br/delivery/sao-paulo-sp/johns-burguer-mooca-alto-da-mooca/212e7c7f-9e7a-4ff1-ab06-d2878ef95315" TargetMode="External" Id="rId206" /><Relationship Type="http://schemas.openxmlformats.org/officeDocument/2006/relationships/hyperlink" Target="https://www.ifood.com.br/delivery/sao-paulo-sp/los-burger---hamburgueria-artesanal-jardim-paulista/f3f800bc-dd95-44bf-8085-7ad4e6c33c19" TargetMode="External" Id="rId207" /><Relationship Type="http://schemas.openxmlformats.org/officeDocument/2006/relationships/hyperlink" Target="https://www.ifood.com.br/delivery/sao-paulo-sp/six-burgers-mooca-vila-claudia/487def9a-b205-4734-8dcd-40cd583c6de9" TargetMode="External" Id="rId208" /><Relationship Type="http://schemas.openxmlformats.org/officeDocument/2006/relationships/hyperlink" Target="https://www.ifood.com.br/delivery/sao-paulo-sp/smash--burguer-letz-pinheiros/c317acf7-79da-4dac-8425-ea9d806a1829" TargetMode="External" Id="rId209" /><Relationship Type="http://schemas.openxmlformats.org/officeDocument/2006/relationships/hyperlink" Target="https://www.ifood.com.br/delivery/sao-paulo-sp/smash-burger-vila-aurora-zona-norte/6d128ed6-fdc8-4407-9d8f-b2f88a28b751" TargetMode="External" Id="rId210" /><Relationship Type="http://schemas.openxmlformats.org/officeDocument/2006/relationships/hyperlink" Target="https://www.ifood.com.br/delivery/sao-paulo-sp/smash-burger-o-artesao-vila-marari/3fa3460d-3743-4a1d-b48e-f0c6df649cdb" TargetMode="External" Id="rId211" /><Relationship Type="http://schemas.openxmlformats.org/officeDocument/2006/relationships/hyperlink" Target="https://www.ifood.com.br/delivery/sao-paulo-sp/smash-burguer-bela-vista-bela-vista/3e40a468-d0b6-44a3-a41e-811f1ffba5d8" TargetMode="External" Id="rId212" /><Relationship Type="http://schemas.openxmlformats.org/officeDocument/2006/relationships/hyperlink" Target="https://www.ifood.com.br/delivery/sao-paulo-sp/the-route-burger-santana/afc62ffd-6e27-480c-8c69-51da5c44996b" TargetMode="External" Id="rId213" /><Relationship Type="http://schemas.openxmlformats.org/officeDocument/2006/relationships/hyperlink" Target="https://www.ifood.com.br/delivery/palmas-to/artesano-burguer---hamburguer-artesanal-plano-diretor-norte/50135a7a-0b32-4263-9c4f-0383abc8c900" TargetMode="External" Id="rId214" /><Relationship Type="http://schemas.openxmlformats.org/officeDocument/2006/relationships/hyperlink" Target="https://www.ifood.com.br/delivery/palmas-to/barao-de-paiva-hamburgueria-jardim-aureny-iii-taquaralto/9f9dfef2-7cf0-47c9-8c96-12f022e0be03" TargetMode="External" Id="rId215" /><Relationship Type="http://schemas.openxmlformats.org/officeDocument/2006/relationships/hyperlink" Target="https://www.ifood.com.br/delivery/palmas-to/hamburgueria-graciosa-plano-diretor-norte/a0bc9b2e-f81d-455d-b6b0-86ea901124b5" TargetMode="External" Id="rId216" /><Relationship Type="http://schemas.openxmlformats.org/officeDocument/2006/relationships/hyperlink" Target="https://www.ifood.com.br/delivery/palmas-to/la-casa-gourmet-hamburgueria-plano-diretor-sul/76a2be5a-a333-4e52-b75d-1956a2bad8b9" TargetMode="External" Id="rId2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0" customWidth="1" min="4" max="4"/>
    <col width="18" customWidth="1" min="5" max="5"/>
    <col width="22" customWidth="1" min="6" max="6"/>
    <col width="11" customWidth="1" min="7" max="7"/>
    <col width="70" customWidth="1" min="8" max="8"/>
    <col width="18" customWidth="1" min="9" max="9"/>
    <col width="28" customWidth="1" min="10" max="10"/>
  </cols>
  <sheetData>
    <row r="1" ht="30" customHeight="1">
      <c r="A1" s="1" t="inlineStr">
        <is>
          <t>#</t>
        </is>
      </c>
      <c r="B1" s="1" t="inlineStr">
        <is>
          <t>Nome (usado na mensagem)</t>
        </is>
      </c>
      <c r="C1" s="1" t="inlineStr">
        <is>
          <t>Cidade/UF</t>
        </is>
      </c>
      <c r="D1" s="1" t="inlineStr">
        <is>
          <t>Loja no iFood</t>
        </is>
      </c>
      <c r="E1" s="1" t="inlineStr">
        <is>
          <t>WhatsApp</t>
        </is>
      </c>
      <c r="F1" s="1" t="inlineStr">
        <is>
          <t>Lanche principal (opcional)</t>
        </is>
      </c>
      <c r="G1" s="1" t="inlineStr">
        <is>
          <t>Preço (opcional)</t>
        </is>
      </c>
      <c r="H1" s="1" t="inlineStr">
        <is>
          <t>MENSAGEM PRONTA — copie e cole</t>
        </is>
      </c>
      <c r="I1" s="1" t="inlineStr">
        <is>
          <t>Status</t>
        </is>
      </c>
      <c r="J1" s="1" t="inlineStr">
        <is>
          <t>Observação</t>
        </is>
      </c>
    </row>
    <row r="2" ht="150" customHeight="1">
      <c r="A2" s="2" t="n">
        <v>1</v>
      </c>
      <c r="B2" s="3" t="inlineStr">
        <is>
          <t>Imperium Hamburgueria e Pizzaria</t>
        </is>
      </c>
      <c r="C2" s="4" t="inlineStr">
        <is>
          <t>Rio Branco/AC</t>
        </is>
      </c>
      <c r="D2" s="5" t="inlineStr">
        <is>
          <t>abrir</t>
        </is>
      </c>
      <c r="E2" s="3" t="n"/>
      <c r="F2" s="3" t="n"/>
      <c r="G2" s="6" t="n"/>
      <c r="H2" s="7">
        <f>"Oi, pessoal da "&amp;B2&amp;"! Tudo bem? 🍔"&amp;CHAR(10)&amp;"Aqui é o "&amp;'Como usar'!$C$4&amp;". Ajudo hamburgueria a vender mais pelo próprio WhatsApp, sem taxa de app."&amp;CHAR(10)&amp;CHAR(10)&amp;IF(F2="","Fiz uma conta rápida: a cada 100 lanches de R$ 35 vendidos no iFood, uns R$ "&amp;ROUND(IF(G2="",35,G2)*100*0.152,-1)&amp;" ficam de taxa.","Fiz uma conta com o "&amp;F2&amp;" de vocês: a cada 100 vendidos no iFood, uns R$ "&amp;ROUND(IF(G2="",35,G2)*100*0.152,-1)&amp;"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"&amp;B2&amp;", de graça, pra vocês verem funcionando. Posso fazer?"</f>
        <v/>
      </c>
      <c r="I2" s="3" t="inlineStr">
        <is>
          <t>A contatar</t>
        </is>
      </c>
      <c r="J2" s="3" t="n"/>
    </row>
    <row r="3" ht="150" customHeight="1">
      <c r="A3" s="2" t="n">
        <v>2</v>
      </c>
      <c r="B3" s="3" t="inlineStr">
        <is>
          <t>Alpha Burgers</t>
        </is>
      </c>
      <c r="C3" s="4" t="inlineStr">
        <is>
          <t>Maceió/AL</t>
        </is>
      </c>
      <c r="D3" s="5" t="inlineStr">
        <is>
          <t>abrir</t>
        </is>
      </c>
      <c r="E3" s="3" t="n"/>
      <c r="F3" s="3" t="n"/>
      <c r="G3" s="6" t="n"/>
      <c r="H3" s="7">
        <f>"Oi, pessoal da "&amp;B3&amp;"! Tudo bem? 🍔"&amp;CHAR(10)&amp;"Aqui é o "&amp;'Como usar'!$C$4&amp;". Ajudo hamburgueria a vender mais pelo próprio WhatsApp, sem taxa de app."&amp;CHAR(10)&amp;CHAR(10)&amp;IF(F3="","Fiz uma conta rápida: a cada 100 lanches de R$ 35 vendidos no iFood, uns R$ "&amp;ROUND(IF(G3="",35,G3)*100*0.152,-1)&amp;" ficam de taxa.","Fiz uma conta com o "&amp;F3&amp;" de vocês: a cada 100 vendidos no iFood, uns R$ "&amp;ROUND(IF(G3="",35,G3)*100*0.152,-1)&amp;"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"&amp;B3&amp;", de graça, pra vocês verem funcionando. Posso fazer?"</f>
        <v/>
      </c>
      <c r="I3" s="3" t="inlineStr">
        <is>
          <t>A contatar</t>
        </is>
      </c>
      <c r="J3" s="3" t="n"/>
    </row>
    <row r="4" ht="150" customHeight="1">
      <c r="A4" s="2" t="n">
        <v>3</v>
      </c>
      <c r="B4" s="3" t="inlineStr">
        <is>
          <t>Mania Smash</t>
        </is>
      </c>
      <c r="C4" s="4" t="inlineStr">
        <is>
          <t>Maceió/AL</t>
        </is>
      </c>
      <c r="D4" s="5" t="inlineStr">
        <is>
          <t>abrir</t>
        </is>
      </c>
      <c r="E4" s="3" t="n"/>
      <c r="F4" s="3" t="n"/>
      <c r="G4" s="6" t="n"/>
      <c r="H4" s="7">
        <f>"Oi, pessoal da "&amp;B4&amp;"! Tudo bem? 🍔"&amp;CHAR(10)&amp;"Aqui é o "&amp;'Como usar'!$C$4&amp;". Ajudo hamburgueria a vender mais pelo próprio WhatsApp, sem taxa de app."&amp;CHAR(10)&amp;CHAR(10)&amp;IF(F4="","Fiz uma conta rápida: a cada 100 lanches de R$ 35 vendidos no iFood, uns R$ "&amp;ROUND(IF(G4="",35,G4)*100*0.152,-1)&amp;" ficam de taxa.","Fiz uma conta com o "&amp;F4&amp;" de vocês: a cada 100 vendidos no iFood, uns R$ "&amp;ROUND(IF(G4="",35,G4)*100*0.152,-1)&amp;"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"&amp;B4&amp;", de graça, pra vocês verem funcionando. Posso fazer?"</f>
        <v/>
      </c>
      <c r="I4" s="3" t="inlineStr">
        <is>
          <t>A contatar</t>
        </is>
      </c>
      <c r="J4" s="3" t="n"/>
    </row>
    <row r="5" ht="150" customHeight="1">
      <c r="A5" s="2" t="n">
        <v>4</v>
      </c>
      <c r="B5" s="3" t="inlineStr">
        <is>
          <t>Podrão Sandubaria</t>
        </is>
      </c>
      <c r="C5" s="4" t="inlineStr">
        <is>
          <t>Maceió/AL</t>
        </is>
      </c>
      <c r="D5" s="5" t="inlineStr">
        <is>
          <t>abrir</t>
        </is>
      </c>
      <c r="E5" s="3" t="n"/>
      <c r="F5" s="3" t="n"/>
      <c r="G5" s="6" t="n"/>
      <c r="H5" s="7">
        <f>"Oi, pessoal da "&amp;B5&amp;"! Tudo bem? 🍔"&amp;CHAR(10)&amp;"Aqui é o "&amp;'Como usar'!$C$4&amp;". Ajudo hamburgueria a vender mais pelo próprio WhatsApp, sem taxa de app."&amp;CHAR(10)&amp;CHAR(10)&amp;IF(F5="","Fiz uma conta rápida: a cada 100 lanches de R$ 35 vendidos no iFood, uns R$ "&amp;ROUND(IF(G5="",35,G5)*100*0.152,-1)&amp;" ficam de taxa.","Fiz uma conta com o "&amp;F5&amp;" de vocês: a cada 100 vendidos no iFood, uns R$ "&amp;ROUND(IF(G5="",35,G5)*100*0.152,-1)&amp;"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"&amp;B5&amp;", de graça, pra vocês verem funcionando. Posso fazer?"</f>
        <v/>
      </c>
      <c r="I5" s="3" t="inlineStr">
        <is>
          <t>A contatar</t>
        </is>
      </c>
      <c r="J5" s="3" t="n"/>
    </row>
    <row r="6" ht="150" customHeight="1">
      <c r="A6" s="2" t="n">
        <v>5</v>
      </c>
      <c r="B6" s="3" t="inlineStr">
        <is>
          <t>Rocca Burger</t>
        </is>
      </c>
      <c r="C6" s="4" t="inlineStr">
        <is>
          <t>Maceió/AL</t>
        </is>
      </c>
      <c r="D6" s="5" t="inlineStr">
        <is>
          <t>abrir</t>
        </is>
      </c>
      <c r="E6" s="3" t="n"/>
      <c r="F6" s="3" t="n"/>
      <c r="G6" s="6" t="n"/>
      <c r="H6" s="7">
        <f>"Oi, pessoal da "&amp;B6&amp;"! Tudo bem? 🍔"&amp;CHAR(10)&amp;"Aqui é o "&amp;'Como usar'!$C$4&amp;". Ajudo hamburgueria a vender mais pelo próprio WhatsApp, sem taxa de app."&amp;CHAR(10)&amp;CHAR(10)&amp;IF(F6="","Fiz uma conta rápida: a cada 100 lanches de R$ 35 vendidos no iFood, uns R$ "&amp;ROUND(IF(G6="",35,G6)*100*0.152,-1)&amp;" ficam de taxa.","Fiz uma conta com o "&amp;F6&amp;" de vocês: a cada 100 vendidos no iFood, uns R$ "&amp;ROUND(IF(G6="",35,G6)*100*0.152,-1)&amp;"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"&amp;B6&amp;", de graça, pra vocês verem funcionando. Posso fazer?"</f>
        <v/>
      </c>
      <c r="I6" s="3" t="inlineStr">
        <is>
          <t>A contatar</t>
        </is>
      </c>
      <c r="J6" s="3" t="n"/>
    </row>
    <row r="7" ht="150" customHeight="1">
      <c r="A7" s="2" t="n">
        <v>6</v>
      </c>
      <c r="B7" s="3" t="inlineStr">
        <is>
          <t>Rustik Express Hamburgueria</t>
        </is>
      </c>
      <c r="C7" s="4" t="inlineStr">
        <is>
          <t>Maceió/AL</t>
        </is>
      </c>
      <c r="D7" s="5" t="inlineStr">
        <is>
          <t>abrir</t>
        </is>
      </c>
      <c r="E7" s="3" t="n"/>
      <c r="F7" s="3" t="n"/>
      <c r="G7" s="6" t="n"/>
      <c r="H7" s="7">
        <f>"Oi, pessoal da "&amp;B7&amp;"! Tudo bem? 🍔"&amp;CHAR(10)&amp;"Aqui é o "&amp;'Como usar'!$C$4&amp;". Ajudo hamburgueria a vender mais pelo próprio WhatsApp, sem taxa de app."&amp;CHAR(10)&amp;CHAR(10)&amp;IF(F7="","Fiz uma conta rápida: a cada 100 lanches de R$ 35 vendidos no iFood, uns R$ "&amp;ROUND(IF(G7="",35,G7)*100*0.152,-1)&amp;" ficam de taxa.","Fiz uma conta com o "&amp;F7&amp;" de vocês: a cada 100 vendidos no iFood, uns R$ "&amp;ROUND(IF(G7="",35,G7)*100*0.152,-1)&amp;"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"&amp;B7&amp;", de graça, pra vocês verem funcionando. Posso fazer?"</f>
        <v/>
      </c>
      <c r="I7" s="3" t="inlineStr">
        <is>
          <t>A contatar</t>
        </is>
      </c>
      <c r="J7" s="3" t="n"/>
    </row>
    <row r="8" ht="150" customHeight="1">
      <c r="A8" s="2" t="n">
        <v>7</v>
      </c>
      <c r="B8" s="3" t="inlineStr">
        <is>
          <t>Rustik Hamburgueria</t>
        </is>
      </c>
      <c r="C8" s="4" t="inlineStr">
        <is>
          <t>Maceió/AL</t>
        </is>
      </c>
      <c r="D8" s="5" t="inlineStr">
        <is>
          <t>abrir</t>
        </is>
      </c>
      <c r="E8" s="3" t="n"/>
      <c r="F8" s="3" t="n"/>
      <c r="G8" s="6" t="n"/>
      <c r="H8" s="7">
        <f>"Oi, pessoal da "&amp;B8&amp;"! Tudo bem? 🍔"&amp;CHAR(10)&amp;"Aqui é o "&amp;'Como usar'!$C$4&amp;". Ajudo hamburgueria a vender mais pelo próprio WhatsApp, sem taxa de app."&amp;CHAR(10)&amp;CHAR(10)&amp;IF(F8="","Fiz uma conta rápida: a cada 100 lanches de R$ 35 vendidos no iFood, uns R$ "&amp;ROUND(IF(G8="",35,G8)*100*0.152,-1)&amp;" ficam de taxa.","Fiz uma conta com o "&amp;F8&amp;" de vocês: a cada 100 vendidos no iFood, uns R$ "&amp;ROUND(IF(G8="",35,G8)*100*0.152,-1)&amp;"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"&amp;B8&amp;", de graça, pra vocês verem funcionando. Posso fazer?"</f>
        <v/>
      </c>
      <c r="I8" s="3" t="inlineStr">
        <is>
          <t>A contatar</t>
        </is>
      </c>
      <c r="J8" s="3" t="n"/>
    </row>
    <row r="9" ht="150" customHeight="1">
      <c r="A9" s="2" t="n">
        <v>8</v>
      </c>
      <c r="B9" s="3" t="inlineStr">
        <is>
          <t>Bbq Burguer Manaus</t>
        </is>
      </c>
      <c r="C9" s="4" t="inlineStr">
        <is>
          <t>Manaus/AM</t>
        </is>
      </c>
      <c r="D9" s="5" t="inlineStr">
        <is>
          <t>abrir</t>
        </is>
      </c>
      <c r="E9" s="3" t="n"/>
      <c r="F9" s="3" t="n"/>
      <c r="G9" s="6" t="n"/>
      <c r="H9" s="7">
        <f>"Oi, pessoal da "&amp;B9&amp;"! Tudo bem? 🍔"&amp;CHAR(10)&amp;"Aqui é o "&amp;'Como usar'!$C$4&amp;". Ajudo hamburgueria a vender mais pelo próprio WhatsApp, sem taxa de app."&amp;CHAR(10)&amp;CHAR(10)&amp;IF(F9="","Fiz uma conta rápida: a cada 100 lanches de R$ 35 vendidos no iFood, uns R$ "&amp;ROUND(IF(G9="",35,G9)*100*0.152,-1)&amp;" ficam de taxa.","Fiz uma conta com o "&amp;F9&amp;" de vocês: a cada 100 vendidos no iFood, uns R$ "&amp;ROUND(IF(G9="",35,G9)*100*0.152,-1)&amp;"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"&amp;B9&amp;", de graça, pra vocês verem funcionando. Posso fazer?"</f>
        <v/>
      </c>
      <c r="I9" s="3" t="inlineStr">
        <is>
          <t>A contatar</t>
        </is>
      </c>
      <c r="J9" s="3" t="n"/>
    </row>
    <row r="10" ht="150" customHeight="1">
      <c r="A10" s="2" t="n">
        <v>9</v>
      </c>
      <c r="B10" s="3" t="inlineStr">
        <is>
          <t>Burgers &amp; Burgers</t>
        </is>
      </c>
      <c r="C10" s="4" t="inlineStr">
        <is>
          <t>Manaus/AM</t>
        </is>
      </c>
      <c r="D10" s="5" t="inlineStr">
        <is>
          <t>abrir</t>
        </is>
      </c>
      <c r="E10" s="3" t="n"/>
      <c r="F10" s="3" t="n"/>
      <c r="G10" s="6" t="n"/>
      <c r="H10" s="7">
        <f>"Oi, pessoal da "&amp;B10&amp;"! Tudo bem? 🍔"&amp;CHAR(10)&amp;"Aqui é o "&amp;'Como usar'!$C$4&amp;". Ajudo hamburgueria a vender mais pelo próprio WhatsApp, sem taxa de app."&amp;CHAR(10)&amp;CHAR(10)&amp;IF(F10="","Fiz uma conta rápida: a cada 100 lanches de R$ 35 vendidos no iFood, uns R$ "&amp;ROUND(IF(G10="",35,G10)*100*0.152,-1)&amp;" ficam de taxa.","Fiz uma conta com o "&amp;F10&amp;" de vocês: a cada 100 vendidos no iFood, uns R$ "&amp;ROUND(IF(G10="",35,G10)*100*0.152,-1)&amp;"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"&amp;B10&amp;", de graça, pra vocês verem funcionando. Posso fazer?"</f>
        <v/>
      </c>
      <c r="I10" s="3" t="inlineStr">
        <is>
          <t>A contatar</t>
        </is>
      </c>
      <c r="J10" s="3" t="n"/>
    </row>
    <row r="11" ht="150" customHeight="1">
      <c r="A11" s="2" t="n">
        <v>10</v>
      </c>
      <c r="B11" s="3" t="inlineStr">
        <is>
          <t>Dome's Burgers</t>
        </is>
      </c>
      <c r="C11" s="4" t="inlineStr">
        <is>
          <t>Manaus/AM</t>
        </is>
      </c>
      <c r="D11" s="5" t="inlineStr">
        <is>
          <t>abrir</t>
        </is>
      </c>
      <c r="E11" s="3" t="n"/>
      <c r="F11" s="3" t="n"/>
      <c r="G11" s="6" t="n"/>
      <c r="H11" s="7">
        <f>"Oi, pessoal da "&amp;B11&amp;"! Tudo bem? 🍔"&amp;CHAR(10)&amp;"Aqui é o "&amp;'Como usar'!$C$4&amp;". Ajudo hamburgueria a vender mais pelo próprio WhatsApp, sem taxa de app."&amp;CHAR(10)&amp;CHAR(10)&amp;IF(F11="","Fiz uma conta rápida: a cada 100 lanches de R$ 35 vendidos no iFood, uns R$ "&amp;ROUND(IF(G11="",35,G11)*100*0.152,-1)&amp;" ficam de taxa.","Fiz uma conta com o "&amp;F11&amp;" de vocês: a cada 100 vendidos no iFood, uns R$ "&amp;ROUND(IF(G11="",35,G11)*100*0.152,-1)&amp;"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"&amp;B11&amp;", de graça, pra vocês verem funcionando. Posso fazer?"</f>
        <v/>
      </c>
      <c r="I11" s="3" t="inlineStr">
        <is>
          <t>A contatar</t>
        </is>
      </c>
      <c r="J11" s="3" t="n"/>
    </row>
    <row r="12" ht="150" customHeight="1">
      <c r="A12" s="2" t="n">
        <v>11</v>
      </c>
      <c r="B12" s="3" t="inlineStr">
        <is>
          <t>Geburger</t>
        </is>
      </c>
      <c r="C12" s="4" t="inlineStr">
        <is>
          <t>Manaus/AM</t>
        </is>
      </c>
      <c r="D12" s="5" t="inlineStr">
        <is>
          <t>abrir</t>
        </is>
      </c>
      <c r="E12" s="3" t="n"/>
      <c r="F12" s="3" t="n"/>
      <c r="G12" s="6" t="n"/>
      <c r="H12" s="7">
        <f>"Oi, pessoal da "&amp;B12&amp;"! Tudo bem? 🍔"&amp;CHAR(10)&amp;"Aqui é o "&amp;'Como usar'!$C$4&amp;". Ajudo hamburgueria a vender mais pelo próprio WhatsApp, sem taxa de app."&amp;CHAR(10)&amp;CHAR(10)&amp;IF(F12="","Fiz uma conta rápida: a cada 100 lanches de R$ 35 vendidos no iFood, uns R$ "&amp;ROUND(IF(G12="",35,G12)*100*0.152,-1)&amp;" ficam de taxa.","Fiz uma conta com o "&amp;F12&amp;" de vocês: a cada 100 vendidos no iFood, uns R$ "&amp;ROUND(IF(G12="",35,G12)*100*0.152,-1)&amp;"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"&amp;B12&amp;", de graça, pra vocês verem funcionando. Posso fazer?"</f>
        <v/>
      </c>
      <c r="I12" s="3" t="inlineStr">
        <is>
          <t>A contatar</t>
        </is>
      </c>
      <c r="J12" s="3" t="n"/>
    </row>
    <row r="13" ht="150" customHeight="1">
      <c r="A13" s="2" t="n">
        <v>12</v>
      </c>
      <c r="B13" s="3" t="inlineStr">
        <is>
          <t>Goiaba Burguer</t>
        </is>
      </c>
      <c r="C13" s="4" t="inlineStr">
        <is>
          <t>Manaus/AM</t>
        </is>
      </c>
      <c r="D13" s="5" t="inlineStr">
        <is>
          <t>abrir</t>
        </is>
      </c>
      <c r="E13" s="3" t="n"/>
      <c r="F13" s="3" t="n"/>
      <c r="G13" s="6" t="n"/>
      <c r="H13" s="7">
        <f>"Oi, pessoal da "&amp;B13&amp;"! Tudo bem? 🍔"&amp;CHAR(10)&amp;"Aqui é o "&amp;'Como usar'!$C$4&amp;". Ajudo hamburgueria a vender mais pelo próprio WhatsApp, sem taxa de app."&amp;CHAR(10)&amp;CHAR(10)&amp;IF(F13="","Fiz uma conta rápida: a cada 100 lanches de R$ 35 vendidos no iFood, uns R$ "&amp;ROUND(IF(G13="",35,G13)*100*0.152,-1)&amp;" ficam de taxa.","Fiz uma conta com o "&amp;F13&amp;" de vocês: a cada 100 vendidos no iFood, uns R$ "&amp;ROUND(IF(G13="",35,G13)*100*0.152,-1)&amp;"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"&amp;B13&amp;", de graça, pra vocês verem funcionando. Posso fazer?"</f>
        <v/>
      </c>
      <c r="I13" s="3" t="inlineStr">
        <is>
          <t>A contatar</t>
        </is>
      </c>
      <c r="J13" s="3" t="n"/>
    </row>
    <row r="14" ht="150" customHeight="1">
      <c r="A14" s="2" t="n">
        <v>13</v>
      </c>
      <c r="B14" s="3" t="inlineStr">
        <is>
          <t>Hamburgueria TBF Burger</t>
        </is>
      </c>
      <c r="C14" s="4" t="inlineStr">
        <is>
          <t>Manaus/AM</t>
        </is>
      </c>
      <c r="D14" s="5" t="inlineStr">
        <is>
          <t>abrir</t>
        </is>
      </c>
      <c r="E14" s="3" t="n"/>
      <c r="F14" s="3" t="n"/>
      <c r="G14" s="6" t="n"/>
      <c r="H14" s="7">
        <f>"Oi, pessoal da "&amp;B14&amp;"! Tudo bem? 🍔"&amp;CHAR(10)&amp;"Aqui é o "&amp;'Como usar'!$C$4&amp;". Ajudo hamburgueria a vender mais pelo próprio WhatsApp, sem taxa de app."&amp;CHAR(10)&amp;CHAR(10)&amp;IF(F14="","Fiz uma conta rápida: a cada 100 lanches de R$ 35 vendidos no iFood, uns R$ "&amp;ROUND(IF(G14="",35,G14)*100*0.152,-1)&amp;" ficam de taxa.","Fiz uma conta com o "&amp;F14&amp;" de vocês: a cada 100 vendidos no iFood, uns R$ "&amp;ROUND(IF(G14="",35,G14)*100*0.152,-1)&amp;"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"&amp;B14&amp;", de graça, pra vocês verem funcionando. Posso fazer?"</f>
        <v/>
      </c>
      <c r="I14" s="3" t="inlineStr">
        <is>
          <t>A contatar</t>
        </is>
      </c>
      <c r="J14" s="3" t="n"/>
    </row>
    <row r="15" ht="150" customHeight="1">
      <c r="A15" s="2" t="n">
        <v>14</v>
      </c>
      <c r="B15" s="3" t="inlineStr">
        <is>
          <t>Jota's Burgers</t>
        </is>
      </c>
      <c r="C15" s="4" t="inlineStr">
        <is>
          <t>Manaus/AM</t>
        </is>
      </c>
      <c r="D15" s="5" t="inlineStr">
        <is>
          <t>abrir</t>
        </is>
      </c>
      <c r="E15" s="3" t="n"/>
      <c r="F15" s="3" t="n"/>
      <c r="G15" s="6" t="n"/>
      <c r="H15" s="7">
        <f>"Oi, pessoal da "&amp;B15&amp;"! Tudo bem? 🍔"&amp;CHAR(10)&amp;"Aqui é o "&amp;'Como usar'!$C$4&amp;". Ajudo hamburgueria a vender mais pelo próprio WhatsApp, sem taxa de app."&amp;CHAR(10)&amp;CHAR(10)&amp;IF(F15="","Fiz uma conta rápida: a cada 100 lanches de R$ 35 vendidos no iFood, uns R$ "&amp;ROUND(IF(G15="",35,G15)*100*0.152,-1)&amp;" ficam de taxa.","Fiz uma conta com o "&amp;F15&amp;" de vocês: a cada 100 vendidos no iFood, uns R$ "&amp;ROUND(IF(G15="",35,G15)*100*0.152,-1)&amp;"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"&amp;B15&amp;", de graça, pra vocês verem funcionando. Posso fazer?"</f>
        <v/>
      </c>
      <c r="I15" s="3" t="inlineStr">
        <is>
          <t>A contatar</t>
        </is>
      </c>
      <c r="J15" s="3" t="n"/>
    </row>
    <row r="16" ht="150" customHeight="1">
      <c r="A16" s="2" t="n">
        <v>15</v>
      </c>
      <c r="B16" s="3" t="inlineStr">
        <is>
          <t>Jsk Burgers</t>
        </is>
      </c>
      <c r="C16" s="4" t="inlineStr">
        <is>
          <t>Manaus/AM</t>
        </is>
      </c>
      <c r="D16" s="5" t="inlineStr">
        <is>
          <t>abrir</t>
        </is>
      </c>
      <c r="E16" s="3" t="n"/>
      <c r="F16" s="3" t="n"/>
      <c r="G16" s="6" t="n"/>
      <c r="H16" s="7">
        <f>"Oi, pessoal da "&amp;B16&amp;"! Tudo bem? 🍔"&amp;CHAR(10)&amp;"Aqui é o "&amp;'Como usar'!$C$4&amp;". Ajudo hamburgueria a vender mais pelo próprio WhatsApp, sem taxa de app."&amp;CHAR(10)&amp;CHAR(10)&amp;IF(F16="","Fiz uma conta rápida: a cada 100 lanches de R$ 35 vendidos no iFood, uns R$ "&amp;ROUND(IF(G16="",35,G16)*100*0.152,-1)&amp;" ficam de taxa.","Fiz uma conta com o "&amp;F16&amp;" de vocês: a cada 100 vendidos no iFood, uns R$ "&amp;ROUND(IF(G16="",35,G16)*100*0.152,-1)&amp;"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"&amp;B16&amp;", de graça, pra vocês verem funcionando. Posso fazer?"</f>
        <v/>
      </c>
      <c r="I16" s="3" t="inlineStr">
        <is>
          <t>A contatar</t>
        </is>
      </c>
      <c r="J16" s="3" t="n"/>
    </row>
    <row r="17" ht="150" customHeight="1">
      <c r="A17" s="2" t="n">
        <v>16</v>
      </c>
      <c r="B17" s="3" t="inlineStr">
        <is>
          <t>Santa Brasa Burger House</t>
        </is>
      </c>
      <c r="C17" s="4" t="inlineStr">
        <is>
          <t>Manaus/AM</t>
        </is>
      </c>
      <c r="D17" s="5" t="inlineStr">
        <is>
          <t>abrir</t>
        </is>
      </c>
      <c r="E17" s="3" t="n"/>
      <c r="F17" s="3" t="n"/>
      <c r="G17" s="6" t="n"/>
      <c r="H17" s="7">
        <f>"Oi, pessoal da "&amp;B17&amp;"! Tudo bem? 🍔"&amp;CHAR(10)&amp;"Aqui é o "&amp;'Como usar'!$C$4&amp;". Ajudo hamburgueria a vender mais pelo próprio WhatsApp, sem taxa de app."&amp;CHAR(10)&amp;CHAR(10)&amp;IF(F17="","Fiz uma conta rápida: a cada 100 lanches de R$ 35 vendidos no iFood, uns R$ "&amp;ROUND(IF(G17="",35,G17)*100*0.152,-1)&amp;" ficam de taxa.","Fiz uma conta com o "&amp;F17&amp;" de vocês: a cada 100 vendidos no iFood, uns R$ "&amp;ROUND(IF(G17="",35,G17)*100*0.152,-1)&amp;"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"&amp;B17&amp;", de graça, pra vocês verem funcionando. Posso fazer?"</f>
        <v/>
      </c>
      <c r="I17" s="3" t="inlineStr">
        <is>
          <t>A contatar</t>
        </is>
      </c>
      <c r="J17" s="3" t="n"/>
    </row>
    <row r="18" ht="150" customHeight="1">
      <c r="A18" s="2" t="n">
        <v>17</v>
      </c>
      <c r="B18" s="3" t="inlineStr">
        <is>
          <t>Artesanal Burguer MCP</t>
        </is>
      </c>
      <c r="C18" s="4" t="inlineStr">
        <is>
          <t>Macapá/AP</t>
        </is>
      </c>
      <c r="D18" s="5" t="inlineStr">
        <is>
          <t>abrir</t>
        </is>
      </c>
      <c r="E18" s="3" t="n"/>
      <c r="F18" s="3" t="n"/>
      <c r="G18" s="6" t="n"/>
      <c r="H18" s="7">
        <f>"Oi, pessoal da "&amp;B18&amp;"! Tudo bem? 🍔"&amp;CHAR(10)&amp;"Aqui é o "&amp;'Como usar'!$C$4&amp;". Ajudo hamburgueria a vender mais pelo próprio WhatsApp, sem taxa de app."&amp;CHAR(10)&amp;CHAR(10)&amp;IF(F18="","Fiz uma conta rápida: a cada 100 lanches de R$ 35 vendidos no iFood, uns R$ "&amp;ROUND(IF(G18="",35,G18)*100*0.152,-1)&amp;" ficam de taxa.","Fiz uma conta com o "&amp;F18&amp;" de vocês: a cada 100 vendidos no iFood, uns R$ "&amp;ROUND(IF(G18="",35,G18)*100*0.152,-1)&amp;"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"&amp;B18&amp;", de graça, pra vocês verem funcionando. Posso fazer?"</f>
        <v/>
      </c>
      <c r="I18" s="3" t="inlineStr">
        <is>
          <t>A contatar</t>
        </is>
      </c>
      <c r="J18" s="3" t="n"/>
    </row>
    <row r="19" ht="150" customHeight="1">
      <c r="A19" s="2" t="n">
        <v>18</v>
      </c>
      <c r="B19" s="3" t="inlineStr">
        <is>
          <t>Hamburgueria The B Burguer Macapa</t>
        </is>
      </c>
      <c r="C19" s="4" t="inlineStr">
        <is>
          <t>Macapá/AP</t>
        </is>
      </c>
      <c r="D19" s="5" t="inlineStr">
        <is>
          <t>abrir</t>
        </is>
      </c>
      <c r="E19" s="3" t="n"/>
      <c r="F19" s="3" t="n"/>
      <c r="G19" s="6" t="n"/>
      <c r="H19" s="7">
        <f>"Oi, pessoal da "&amp;B19&amp;"! Tudo bem? 🍔"&amp;CHAR(10)&amp;"Aqui é o "&amp;'Como usar'!$C$4&amp;". Ajudo hamburgueria a vender mais pelo próprio WhatsApp, sem taxa de app."&amp;CHAR(10)&amp;CHAR(10)&amp;IF(F19="","Fiz uma conta rápida: a cada 100 lanches de R$ 35 vendidos no iFood, uns R$ "&amp;ROUND(IF(G19="",35,G19)*100*0.152,-1)&amp;" ficam de taxa.","Fiz uma conta com o "&amp;F19&amp;" de vocês: a cada 100 vendidos no iFood, uns R$ "&amp;ROUND(IF(G19="",35,G19)*100*0.152,-1)&amp;"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"&amp;B19&amp;", de graça, pra vocês verem funcionando. Posso fazer?"</f>
        <v/>
      </c>
      <c r="I19" s="3" t="inlineStr">
        <is>
          <t>A contatar</t>
        </is>
      </c>
      <c r="J19" s="3" t="n"/>
    </row>
    <row r="20" ht="150" customHeight="1">
      <c r="A20" s="2" t="n">
        <v>19</v>
      </c>
      <c r="B20" s="3" t="inlineStr">
        <is>
          <t>Homemade Hamburgueria</t>
        </is>
      </c>
      <c r="C20" s="4" t="inlineStr">
        <is>
          <t>Macapá/AP</t>
        </is>
      </c>
      <c r="D20" s="5" t="inlineStr">
        <is>
          <t>abrir</t>
        </is>
      </c>
      <c r="E20" s="3" t="n"/>
      <c r="F20" s="3" t="n"/>
      <c r="G20" s="6" t="n"/>
      <c r="H20" s="7">
        <f>"Oi, pessoal da "&amp;B20&amp;"! Tudo bem? 🍔"&amp;CHAR(10)&amp;"Aqui é o "&amp;'Como usar'!$C$4&amp;". Ajudo hamburgueria a vender mais pelo próprio WhatsApp, sem taxa de app."&amp;CHAR(10)&amp;CHAR(10)&amp;IF(F20="","Fiz uma conta rápida: a cada 100 lanches de R$ 35 vendidos no iFood, uns R$ "&amp;ROUND(IF(G20="",35,G20)*100*0.152,-1)&amp;" ficam de taxa.","Fiz uma conta com o "&amp;F20&amp;" de vocês: a cada 100 vendidos no iFood, uns R$ "&amp;ROUND(IF(G20="",35,G20)*100*0.152,-1)&amp;"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"&amp;B20&amp;", de graça, pra vocês verem funcionando. Posso fazer?"</f>
        <v/>
      </c>
      <c r="I20" s="3" t="inlineStr">
        <is>
          <t>A contatar</t>
        </is>
      </c>
      <c r="J20" s="3" t="n"/>
    </row>
    <row r="21" ht="150" customHeight="1">
      <c r="A21" s="2" t="n">
        <v>20</v>
      </c>
      <c r="B21" s="3" t="inlineStr">
        <is>
          <t>DK Burger &amp; Bar</t>
        </is>
      </c>
      <c r="C21" s="4" t="inlineStr">
        <is>
          <t>Salvador/BA</t>
        </is>
      </c>
      <c r="D21" s="5" t="inlineStr">
        <is>
          <t>abrir</t>
        </is>
      </c>
      <c r="E21" s="3" t="n"/>
      <c r="F21" s="3" t="n"/>
      <c r="G21" s="6" t="n"/>
      <c r="H21" s="7">
        <f>"Oi, pessoal da "&amp;B21&amp;"! Tudo bem? 🍔"&amp;CHAR(10)&amp;"Aqui é o "&amp;'Como usar'!$C$4&amp;". Ajudo hamburgueria a vender mais pelo próprio WhatsApp, sem taxa de app."&amp;CHAR(10)&amp;CHAR(10)&amp;IF(F21="","Fiz uma conta rápida: a cada 100 lanches de R$ 35 vendidos no iFood, uns R$ "&amp;ROUND(IF(G21="",35,G21)*100*0.152,-1)&amp;" ficam de taxa.","Fiz uma conta com o "&amp;F21&amp;" de vocês: a cada 100 vendidos no iFood, uns R$ "&amp;ROUND(IF(G21="",35,G21)*100*0.152,-1)&amp;"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"&amp;B21&amp;", de graça, pra vocês verem funcionando. Posso fazer?"</f>
        <v/>
      </c>
      <c r="I21" s="3" t="inlineStr">
        <is>
          <t>A contatar</t>
        </is>
      </c>
      <c r="J21" s="3" t="n"/>
    </row>
    <row r="22" ht="150" customHeight="1">
      <c r="A22" s="2" t="n">
        <v>21</v>
      </c>
      <c r="B22" s="3" t="inlineStr">
        <is>
          <t>Good Food Burguer</t>
        </is>
      </c>
      <c r="C22" s="4" t="inlineStr">
        <is>
          <t>Salvador/BA</t>
        </is>
      </c>
      <c r="D22" s="5" t="inlineStr">
        <is>
          <t>abrir</t>
        </is>
      </c>
      <c r="E22" s="3" t="n"/>
      <c r="F22" s="3" t="n"/>
      <c r="G22" s="6" t="n"/>
      <c r="H22" s="7">
        <f>"Oi, pessoal da "&amp;B22&amp;"! Tudo bem? 🍔"&amp;CHAR(10)&amp;"Aqui é o "&amp;'Como usar'!$C$4&amp;". Ajudo hamburgueria a vender mais pelo próprio WhatsApp, sem taxa de app."&amp;CHAR(10)&amp;CHAR(10)&amp;IF(F22="","Fiz uma conta rápida: a cada 100 lanches de R$ 35 vendidos no iFood, uns R$ "&amp;ROUND(IF(G22="",35,G22)*100*0.152,-1)&amp;" ficam de taxa.","Fiz uma conta com o "&amp;F22&amp;" de vocês: a cada 100 vendidos no iFood, uns R$ "&amp;ROUND(IF(G22="",35,G22)*100*0.152,-1)&amp;"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"&amp;B22&amp;", de graça, pra vocês verem funcionando. Posso fazer?"</f>
        <v/>
      </c>
      <c r="I22" s="3" t="inlineStr">
        <is>
          <t>A contatar</t>
        </is>
      </c>
      <c r="J22" s="3" t="n"/>
    </row>
    <row r="23" ht="150" customHeight="1">
      <c r="A23" s="2" t="n">
        <v>22</v>
      </c>
      <c r="B23" s="3" t="inlineStr">
        <is>
          <t>Gs Burger</t>
        </is>
      </c>
      <c r="C23" s="4" t="inlineStr">
        <is>
          <t>Salvador/BA</t>
        </is>
      </c>
      <c r="D23" s="5" t="inlineStr">
        <is>
          <t>abrir</t>
        </is>
      </c>
      <c r="E23" s="3" t="n"/>
      <c r="F23" s="3" t="n"/>
      <c r="G23" s="6" t="n"/>
      <c r="H23" s="7">
        <f>"Oi, pessoal da "&amp;B23&amp;"! Tudo bem? 🍔"&amp;CHAR(10)&amp;"Aqui é o "&amp;'Como usar'!$C$4&amp;". Ajudo hamburgueria a vender mais pelo próprio WhatsApp, sem taxa de app."&amp;CHAR(10)&amp;CHAR(10)&amp;IF(F23="","Fiz uma conta rápida: a cada 100 lanches de R$ 35 vendidos no iFood, uns R$ "&amp;ROUND(IF(G23="",35,G23)*100*0.152,-1)&amp;" ficam de taxa.","Fiz uma conta com o "&amp;F23&amp;" de vocês: a cada 100 vendidos no iFood, uns R$ "&amp;ROUND(IF(G23="",35,G23)*100*0.152,-1)&amp;"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"&amp;B23&amp;", de graça, pra vocês verem funcionando. Posso fazer?"</f>
        <v/>
      </c>
      <c r="I23" s="3" t="inlineStr">
        <is>
          <t>A contatar</t>
        </is>
      </c>
      <c r="J23" s="3" t="n"/>
    </row>
    <row r="24" ht="150" customHeight="1">
      <c r="A24" s="2" t="n">
        <v>23</v>
      </c>
      <c r="B24" s="3" t="inlineStr">
        <is>
          <t>Oxe! Burger</t>
        </is>
      </c>
      <c r="C24" s="4" t="inlineStr">
        <is>
          <t>Salvador/BA</t>
        </is>
      </c>
      <c r="D24" s="5" t="inlineStr">
        <is>
          <t>abrir</t>
        </is>
      </c>
      <c r="E24" s="3" t="n"/>
      <c r="F24" s="3" t="n"/>
      <c r="G24" s="6" t="n"/>
      <c r="H24" s="7">
        <f>"Oi, pessoal da "&amp;B24&amp;"! Tudo bem? 🍔"&amp;CHAR(10)&amp;"Aqui é o "&amp;'Como usar'!$C$4&amp;". Ajudo hamburgueria a vender mais pelo próprio WhatsApp, sem taxa de app."&amp;CHAR(10)&amp;CHAR(10)&amp;IF(F24="","Fiz uma conta rápida: a cada 100 lanches de R$ 35 vendidos no iFood, uns R$ "&amp;ROUND(IF(G24="",35,G24)*100*0.152,-1)&amp;" ficam de taxa.","Fiz uma conta com o "&amp;F24&amp;" de vocês: a cada 100 vendidos no iFood, uns R$ "&amp;ROUND(IF(G24="",35,G24)*100*0.152,-1)&amp;"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"&amp;B24&amp;", de graça, pra vocês verem funcionando. Posso fazer?"</f>
        <v/>
      </c>
      <c r="I24" s="3" t="inlineStr">
        <is>
          <t>A contatar</t>
        </is>
      </c>
      <c r="J24" s="3" t="n"/>
    </row>
    <row r="25" ht="150" customHeight="1">
      <c r="A25" s="2" t="n">
        <v>24</v>
      </c>
      <c r="B25" s="3" t="inlineStr">
        <is>
          <t>Seltc's Burger</t>
        </is>
      </c>
      <c r="C25" s="4" t="inlineStr">
        <is>
          <t>Salvador/BA</t>
        </is>
      </c>
      <c r="D25" s="5" t="inlineStr">
        <is>
          <t>abrir</t>
        </is>
      </c>
      <c r="E25" s="3" t="n"/>
      <c r="F25" s="3" t="n"/>
      <c r="G25" s="6" t="n"/>
      <c r="H25" s="7">
        <f>"Oi, pessoal da "&amp;B25&amp;"! Tudo bem? 🍔"&amp;CHAR(10)&amp;"Aqui é o "&amp;'Como usar'!$C$4&amp;". Ajudo hamburgueria a vender mais pelo próprio WhatsApp, sem taxa de app."&amp;CHAR(10)&amp;CHAR(10)&amp;IF(F25="","Fiz uma conta rápida: a cada 100 lanches de R$ 35 vendidos no iFood, uns R$ "&amp;ROUND(IF(G25="",35,G25)*100*0.152,-1)&amp;" ficam de taxa.","Fiz uma conta com o "&amp;F25&amp;" de vocês: a cada 100 vendidos no iFood, uns R$ "&amp;ROUND(IF(G25="",35,G25)*100*0.152,-1)&amp;"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"&amp;B25&amp;", de graça, pra vocês verem funcionando. Posso fazer?"</f>
        <v/>
      </c>
      <c r="I25" s="3" t="inlineStr">
        <is>
          <t>A contatar</t>
        </is>
      </c>
      <c r="J25" s="3" t="n"/>
    </row>
    <row r="26" ht="150" customHeight="1">
      <c r="A26" s="2" t="n">
        <v>25</v>
      </c>
      <c r="B26" s="3" t="inlineStr">
        <is>
          <t>4burger</t>
        </is>
      </c>
      <c r="C26" s="4" t="inlineStr">
        <is>
          <t>Fortaleza/CE</t>
        </is>
      </c>
      <c r="D26" s="5" t="inlineStr">
        <is>
          <t>abrir</t>
        </is>
      </c>
      <c r="E26" s="3" t="n"/>
      <c r="F26" s="3" t="n"/>
      <c r="G26" s="6" t="n"/>
      <c r="H26" s="7">
        <f>"Oi, pessoal da "&amp;B26&amp;"! Tudo bem? 🍔"&amp;CHAR(10)&amp;"Aqui é o "&amp;'Como usar'!$C$4&amp;". Ajudo hamburgueria a vender mais pelo próprio WhatsApp, sem taxa de app."&amp;CHAR(10)&amp;CHAR(10)&amp;IF(F26="","Fiz uma conta rápida: a cada 100 lanches de R$ 35 vendidos no iFood, uns R$ "&amp;ROUND(IF(G26="",35,G26)*100*0.152,-1)&amp;" ficam de taxa.","Fiz uma conta com o "&amp;F26&amp;" de vocês: a cada 100 vendidos no iFood, uns R$ "&amp;ROUND(IF(G26="",35,G26)*100*0.152,-1)&amp;"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"&amp;B26&amp;", de graça, pra vocês verem funcionando. Posso fazer?"</f>
        <v/>
      </c>
      <c r="I26" s="3" t="inlineStr">
        <is>
          <t>A contatar</t>
        </is>
      </c>
      <c r="J26" s="3" t="n"/>
    </row>
    <row r="27" ht="150" customHeight="1">
      <c r="A27" s="2" t="n">
        <v>26</v>
      </c>
      <c r="B27" s="3" t="inlineStr">
        <is>
          <t>A Banca Hamburgueria</t>
        </is>
      </c>
      <c r="C27" s="4" t="inlineStr">
        <is>
          <t>Fortaleza/CE</t>
        </is>
      </c>
      <c r="D27" s="5" t="inlineStr">
        <is>
          <t>abrir</t>
        </is>
      </c>
      <c r="E27" s="3" t="n"/>
      <c r="F27" s="3" t="n"/>
      <c r="G27" s="6" t="n"/>
      <c r="H27" s="7">
        <f>"Oi, pessoal da "&amp;B27&amp;"! Tudo bem? 🍔"&amp;CHAR(10)&amp;"Aqui é o "&amp;'Como usar'!$C$4&amp;". Ajudo hamburgueria a vender mais pelo próprio WhatsApp, sem taxa de app."&amp;CHAR(10)&amp;CHAR(10)&amp;IF(F27="","Fiz uma conta rápida: a cada 100 lanches de R$ 35 vendidos no iFood, uns R$ "&amp;ROUND(IF(G27="",35,G27)*100*0.152,-1)&amp;" ficam de taxa.","Fiz uma conta com o "&amp;F27&amp;" de vocês: a cada 100 vendidos no iFood, uns R$ "&amp;ROUND(IF(G27="",35,G27)*100*0.152,-1)&amp;"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"&amp;B27&amp;", de graça, pra vocês verem funcionando. Posso fazer?"</f>
        <v/>
      </c>
      <c r="I27" s="3" t="inlineStr">
        <is>
          <t>A contatar</t>
        </is>
      </c>
      <c r="J27" s="3" t="n"/>
    </row>
    <row r="28" ht="150" customHeight="1">
      <c r="A28" s="2" t="n">
        <v>27</v>
      </c>
      <c r="B28" s="3" t="inlineStr">
        <is>
          <t>Double Trouble Burger</t>
        </is>
      </c>
      <c r="C28" s="4" t="inlineStr">
        <is>
          <t>Fortaleza/CE</t>
        </is>
      </c>
      <c r="D28" s="5" t="inlineStr">
        <is>
          <t>abrir</t>
        </is>
      </c>
      <c r="E28" s="3" t="n"/>
      <c r="F28" s="3" t="n"/>
      <c r="G28" s="6" t="n"/>
      <c r="H28" s="7">
        <f>"Oi, pessoal da "&amp;B28&amp;"! Tudo bem? 🍔"&amp;CHAR(10)&amp;"Aqui é o "&amp;'Como usar'!$C$4&amp;". Ajudo hamburgueria a vender mais pelo próprio WhatsApp, sem taxa de app."&amp;CHAR(10)&amp;CHAR(10)&amp;IF(F28="","Fiz uma conta rápida: a cada 100 lanches de R$ 35 vendidos no iFood, uns R$ "&amp;ROUND(IF(G28="",35,G28)*100*0.152,-1)&amp;" ficam de taxa.","Fiz uma conta com o "&amp;F28&amp;" de vocês: a cada 100 vendidos no iFood, uns R$ "&amp;ROUND(IF(G28="",35,G28)*100*0.152,-1)&amp;"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"&amp;B28&amp;", de graça, pra vocês verem funcionando. Posso fazer?"</f>
        <v/>
      </c>
      <c r="I28" s="3" t="inlineStr">
        <is>
          <t>A contatar</t>
        </is>
      </c>
      <c r="J28" s="3" t="n"/>
    </row>
    <row r="29" ht="150" customHeight="1">
      <c r="A29" s="2" t="n">
        <v>28</v>
      </c>
      <c r="B29" s="3" t="inlineStr">
        <is>
          <t>Hamburgueria 88</t>
        </is>
      </c>
      <c r="C29" s="4" t="inlineStr">
        <is>
          <t>Fortaleza/CE</t>
        </is>
      </c>
      <c r="D29" s="5" t="inlineStr">
        <is>
          <t>abrir</t>
        </is>
      </c>
      <c r="E29" s="3" t="n"/>
      <c r="F29" s="3" t="n"/>
      <c r="G29" s="6" t="n"/>
      <c r="H29" s="7">
        <f>"Oi, pessoal da "&amp;B29&amp;"! Tudo bem? 🍔"&amp;CHAR(10)&amp;"Aqui é o "&amp;'Como usar'!$C$4&amp;". Ajudo hamburgueria a vender mais pelo próprio WhatsApp, sem taxa de app."&amp;CHAR(10)&amp;CHAR(10)&amp;IF(F29="","Fiz uma conta rápida: a cada 100 lanches de R$ 35 vendidos no iFood, uns R$ "&amp;ROUND(IF(G29="",35,G29)*100*0.152,-1)&amp;" ficam de taxa.","Fiz uma conta com o "&amp;F29&amp;" de vocês: a cada 100 vendidos no iFood, uns R$ "&amp;ROUND(IF(G29="",35,G29)*100*0.152,-1)&amp;"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"&amp;B29&amp;", de graça, pra vocês verem funcionando. Posso fazer?"</f>
        <v/>
      </c>
      <c r="I29" s="3" t="inlineStr">
        <is>
          <t>A contatar</t>
        </is>
      </c>
      <c r="J29" s="3" t="n"/>
    </row>
    <row r="30" ht="150" customHeight="1">
      <c r="A30" s="2" t="n">
        <v>29</v>
      </c>
      <c r="B30" s="3" t="inlineStr">
        <is>
          <t>Hook Smash Burger</t>
        </is>
      </c>
      <c r="C30" s="4" t="inlineStr">
        <is>
          <t>Fortaleza/CE</t>
        </is>
      </c>
      <c r="D30" s="5" t="inlineStr">
        <is>
          <t>abrir</t>
        </is>
      </c>
      <c r="E30" s="3" t="n"/>
      <c r="F30" s="3" t="n"/>
      <c r="G30" s="6" t="n"/>
      <c r="H30" s="7">
        <f>"Oi, pessoal da "&amp;B30&amp;"! Tudo bem? 🍔"&amp;CHAR(10)&amp;"Aqui é o "&amp;'Como usar'!$C$4&amp;". Ajudo hamburgueria a vender mais pelo próprio WhatsApp, sem taxa de app."&amp;CHAR(10)&amp;CHAR(10)&amp;IF(F30="","Fiz uma conta rápida: a cada 100 lanches de R$ 35 vendidos no iFood, uns R$ "&amp;ROUND(IF(G30="",35,G30)*100*0.152,-1)&amp;" ficam de taxa.","Fiz uma conta com o "&amp;F30&amp;" de vocês: a cada 100 vendidos no iFood, uns R$ "&amp;ROUND(IF(G30="",35,G30)*100*0.152,-1)&amp;"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"&amp;B30&amp;", de graça, pra vocês verem funcionando. Posso fazer?"</f>
        <v/>
      </c>
      <c r="I30" s="3" t="inlineStr">
        <is>
          <t>A contatar</t>
        </is>
      </c>
      <c r="J30" s="3" t="n"/>
    </row>
    <row r="31" ht="150" customHeight="1">
      <c r="A31" s="2" t="n">
        <v>30</v>
      </c>
      <c r="B31" s="3" t="inlineStr">
        <is>
          <t>Seu Chefe Hamburgueria Maraponga</t>
        </is>
      </c>
      <c r="C31" s="4" t="inlineStr">
        <is>
          <t>Fortaleza/CE</t>
        </is>
      </c>
      <c r="D31" s="5" t="inlineStr">
        <is>
          <t>abrir</t>
        </is>
      </c>
      <c r="E31" s="3" t="n"/>
      <c r="F31" s="3" t="n"/>
      <c r="G31" s="6" t="n"/>
      <c r="H31" s="7">
        <f>"Oi, pessoal da "&amp;B31&amp;"! Tudo bem? 🍔"&amp;CHAR(10)&amp;"Aqui é o "&amp;'Como usar'!$C$4&amp;". Ajudo hamburgueria a vender mais pelo próprio WhatsApp, sem taxa de app."&amp;CHAR(10)&amp;CHAR(10)&amp;IF(F31="","Fiz uma conta rápida: a cada 100 lanches de R$ 35 vendidos no iFood, uns R$ "&amp;ROUND(IF(G31="",35,G31)*100*0.152,-1)&amp;" ficam de taxa.","Fiz uma conta com o "&amp;F31&amp;" de vocês: a cada 100 vendidos no iFood, uns R$ "&amp;ROUND(IF(G31="",35,G31)*100*0.152,-1)&amp;"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"&amp;B31&amp;", de graça, pra vocês verem funcionando. Posso fazer?"</f>
        <v/>
      </c>
      <c r="I31" s="3" t="inlineStr">
        <is>
          <t>A contatar</t>
        </is>
      </c>
      <c r="J31" s="3" t="n"/>
    </row>
    <row r="32" ht="150" customHeight="1">
      <c r="A32" s="2" t="n">
        <v>31</v>
      </c>
      <c r="B32" s="3" t="inlineStr">
        <is>
          <t>The Burger</t>
        </is>
      </c>
      <c r="C32" s="4" t="inlineStr">
        <is>
          <t>Fortaleza/CE</t>
        </is>
      </c>
      <c r="D32" s="5" t="inlineStr">
        <is>
          <t>abrir</t>
        </is>
      </c>
      <c r="E32" s="3" t="n"/>
      <c r="F32" s="3" t="n"/>
      <c r="G32" s="6" t="n"/>
      <c r="H32" s="7">
        <f>"Oi, pessoal da "&amp;B32&amp;"! Tudo bem? 🍔"&amp;CHAR(10)&amp;"Aqui é o "&amp;'Como usar'!$C$4&amp;". Ajudo hamburgueria a vender mais pelo próprio WhatsApp, sem taxa de app."&amp;CHAR(10)&amp;CHAR(10)&amp;IF(F32="","Fiz uma conta rápida: a cada 100 lanches de R$ 35 vendidos no iFood, uns R$ "&amp;ROUND(IF(G32="",35,G32)*100*0.152,-1)&amp;" ficam de taxa.","Fiz uma conta com o "&amp;F32&amp;" de vocês: a cada 100 vendidos no iFood, uns R$ "&amp;ROUND(IF(G32="",35,G32)*100*0.152,-1)&amp;"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"&amp;B32&amp;", de graça, pra vocês verem funcionando. Posso fazer?"</f>
        <v/>
      </c>
      <c r="I32" s="3" t="inlineStr">
        <is>
          <t>A contatar</t>
        </is>
      </c>
      <c r="J32" s="3" t="n"/>
    </row>
    <row r="33" ht="150" customHeight="1">
      <c r="A33" s="2" t="n">
        <v>32</v>
      </c>
      <c r="B33" s="3" t="inlineStr">
        <is>
          <t>Zack Smash's</t>
        </is>
      </c>
      <c r="C33" s="4" t="inlineStr">
        <is>
          <t>Fortaleza/CE</t>
        </is>
      </c>
      <c r="D33" s="5" t="inlineStr">
        <is>
          <t>abrir</t>
        </is>
      </c>
      <c r="E33" s="3" t="n"/>
      <c r="F33" s="3" t="n"/>
      <c r="G33" s="6" t="n"/>
      <c r="H33" s="7">
        <f>"Oi, pessoal da "&amp;B33&amp;"! Tudo bem? 🍔"&amp;CHAR(10)&amp;"Aqui é o "&amp;'Como usar'!$C$4&amp;". Ajudo hamburgueria a vender mais pelo próprio WhatsApp, sem taxa de app."&amp;CHAR(10)&amp;CHAR(10)&amp;IF(F33="","Fiz uma conta rápida: a cada 100 lanches de R$ 35 vendidos no iFood, uns R$ "&amp;ROUND(IF(G33="",35,G33)*100*0.152,-1)&amp;" ficam de taxa.","Fiz uma conta com o "&amp;F33&amp;" de vocês: a cada 100 vendidos no iFood, uns R$ "&amp;ROUND(IF(G33="",35,G33)*100*0.152,-1)&amp;"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"&amp;B33&amp;", de graça, pra vocês verem funcionando. Posso fazer?"</f>
        <v/>
      </c>
      <c r="I33" s="3" t="inlineStr">
        <is>
          <t>A contatar</t>
        </is>
      </c>
      <c r="J33" s="3" t="n"/>
    </row>
    <row r="34" ht="150" customHeight="1">
      <c r="A34" s="2" t="n">
        <v>33</v>
      </c>
      <c r="B34" s="3" t="inlineStr">
        <is>
          <t>061 Bbq &amp; Burger</t>
        </is>
      </c>
      <c r="C34" s="4" t="inlineStr">
        <is>
          <t>Brasília/DF</t>
        </is>
      </c>
      <c r="D34" s="5" t="inlineStr">
        <is>
          <t>abrir</t>
        </is>
      </c>
      <c r="E34" s="3" t="n"/>
      <c r="F34" s="3" t="n"/>
      <c r="G34" s="6" t="n"/>
      <c r="H34" s="7">
        <f>"Oi, pessoal da "&amp;B34&amp;"! Tudo bem? 🍔"&amp;CHAR(10)&amp;"Aqui é o "&amp;'Como usar'!$C$4&amp;". Ajudo hamburgueria a vender mais pelo próprio WhatsApp, sem taxa de app."&amp;CHAR(10)&amp;CHAR(10)&amp;IF(F34="","Fiz uma conta rápida: a cada 100 lanches de R$ 35 vendidos no iFood, uns R$ "&amp;ROUND(IF(G34="",35,G34)*100*0.152,-1)&amp;" ficam de taxa.","Fiz uma conta com o "&amp;F34&amp;" de vocês: a cada 100 vendidos no iFood, uns R$ "&amp;ROUND(IF(G34="",35,G34)*100*0.152,-1)&amp;"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"&amp;B34&amp;", de graça, pra vocês verem funcionando. Posso fazer?"</f>
        <v/>
      </c>
      <c r="I34" s="3" t="inlineStr">
        <is>
          <t>A contatar</t>
        </is>
      </c>
      <c r="J34" s="3" t="n"/>
    </row>
    <row r="35" ht="150" customHeight="1">
      <c r="A35" s="2" t="n">
        <v>34</v>
      </c>
      <c r="B35" s="3" t="inlineStr">
        <is>
          <t>Prediletto Smash Burguer</t>
        </is>
      </c>
      <c r="C35" s="4" t="inlineStr">
        <is>
          <t>Brasília/DF</t>
        </is>
      </c>
      <c r="D35" s="5" t="inlineStr">
        <is>
          <t>abrir</t>
        </is>
      </c>
      <c r="E35" s="3" t="n"/>
      <c r="F35" s="3" t="n"/>
      <c r="G35" s="6" t="n"/>
      <c r="H35" s="7">
        <f>"Oi, pessoal da "&amp;B35&amp;"! Tudo bem? 🍔"&amp;CHAR(10)&amp;"Aqui é o "&amp;'Como usar'!$C$4&amp;". Ajudo hamburgueria a vender mais pelo próprio WhatsApp, sem taxa de app."&amp;CHAR(10)&amp;CHAR(10)&amp;IF(F35="","Fiz uma conta rápida: a cada 100 lanches de R$ 35 vendidos no iFood, uns R$ "&amp;ROUND(IF(G35="",35,G35)*100*0.152,-1)&amp;" ficam de taxa.","Fiz uma conta com o "&amp;F35&amp;" de vocês: a cada 100 vendidos no iFood, uns R$ "&amp;ROUND(IF(G35="",35,G35)*100*0.152,-1)&amp;"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"&amp;B35&amp;", de graça, pra vocês verem funcionando. Posso fazer?"</f>
        <v/>
      </c>
      <c r="I35" s="3" t="inlineStr">
        <is>
          <t>A contatar</t>
        </is>
      </c>
      <c r="J35" s="3" t="n"/>
    </row>
    <row r="36" ht="150" customHeight="1">
      <c r="A36" s="2" t="n">
        <v>35</v>
      </c>
      <c r="B36" s="3" t="inlineStr">
        <is>
          <t>Pão Recheado Hamburgueria</t>
        </is>
      </c>
      <c r="C36" s="4" t="inlineStr">
        <is>
          <t>Brasília/DF</t>
        </is>
      </c>
      <c r="D36" s="5" t="inlineStr">
        <is>
          <t>abrir</t>
        </is>
      </c>
      <c r="E36" s="3" t="n"/>
      <c r="F36" s="3" t="n"/>
      <c r="G36" s="6" t="n"/>
      <c r="H36" s="7">
        <f>"Oi, pessoal da "&amp;B36&amp;"! Tudo bem? 🍔"&amp;CHAR(10)&amp;"Aqui é o "&amp;'Como usar'!$C$4&amp;". Ajudo hamburgueria a vender mais pelo próprio WhatsApp, sem taxa de app."&amp;CHAR(10)&amp;CHAR(10)&amp;IF(F36="","Fiz uma conta rápida: a cada 100 lanches de R$ 35 vendidos no iFood, uns R$ "&amp;ROUND(IF(G36="",35,G36)*100*0.152,-1)&amp;" ficam de taxa.","Fiz uma conta com o "&amp;F36&amp;" de vocês: a cada 100 vendidos no iFood, uns R$ "&amp;ROUND(IF(G36="",35,G36)*100*0.152,-1)&amp;"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"&amp;B36&amp;", de graça, pra vocês verem funcionando. Posso fazer?"</f>
        <v/>
      </c>
      <c r="I36" s="3" t="inlineStr">
        <is>
          <t>A contatar</t>
        </is>
      </c>
      <c r="J36" s="3" t="n"/>
    </row>
    <row r="37" ht="150" customHeight="1">
      <c r="A37" s="2" t="n">
        <v>36</v>
      </c>
      <c r="B37" s="3" t="inlineStr">
        <is>
          <t>Smash Burger Bsb</t>
        </is>
      </c>
      <c r="C37" s="4" t="inlineStr">
        <is>
          <t>Brasília/DF</t>
        </is>
      </c>
      <c r="D37" s="5" t="inlineStr">
        <is>
          <t>abrir</t>
        </is>
      </c>
      <c r="E37" s="3" t="n"/>
      <c r="F37" s="3" t="n"/>
      <c r="G37" s="6" t="n"/>
      <c r="H37" s="7">
        <f>"Oi, pessoal da "&amp;B37&amp;"! Tudo bem? 🍔"&amp;CHAR(10)&amp;"Aqui é o "&amp;'Como usar'!$C$4&amp;". Ajudo hamburgueria a vender mais pelo próprio WhatsApp, sem taxa de app."&amp;CHAR(10)&amp;CHAR(10)&amp;IF(F37="","Fiz uma conta rápida: a cada 100 lanches de R$ 35 vendidos no iFood, uns R$ "&amp;ROUND(IF(G37="",35,G37)*100*0.152,-1)&amp;" ficam de taxa.","Fiz uma conta com o "&amp;F37&amp;" de vocês: a cada 100 vendidos no iFood, uns R$ "&amp;ROUND(IF(G37="",35,G37)*100*0.152,-1)&amp;"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"&amp;B37&amp;", de graça, pra vocês verem funcionando. Posso fazer?"</f>
        <v/>
      </c>
      <c r="I37" s="3" t="inlineStr">
        <is>
          <t>A contatar</t>
        </is>
      </c>
      <c r="J37" s="3" t="n"/>
    </row>
    <row r="38" ht="150" customHeight="1">
      <c r="A38" s="2" t="n">
        <v>37</v>
      </c>
      <c r="B38" s="3" t="inlineStr">
        <is>
          <t>Spot Burgers</t>
        </is>
      </c>
      <c r="C38" s="4" t="inlineStr">
        <is>
          <t>Brasília/DF</t>
        </is>
      </c>
      <c r="D38" s="5" t="inlineStr">
        <is>
          <t>abrir</t>
        </is>
      </c>
      <c r="E38" s="3" t="n"/>
      <c r="F38" s="3" t="n"/>
      <c r="G38" s="6" t="n"/>
      <c r="H38" s="7">
        <f>"Oi, pessoal da "&amp;B38&amp;"! Tudo bem? 🍔"&amp;CHAR(10)&amp;"Aqui é o "&amp;'Como usar'!$C$4&amp;". Ajudo hamburgueria a vender mais pelo próprio WhatsApp, sem taxa de app."&amp;CHAR(10)&amp;CHAR(10)&amp;IF(F38="","Fiz uma conta rápida: a cada 100 lanches de R$ 35 vendidos no iFood, uns R$ "&amp;ROUND(IF(G38="",35,G38)*100*0.152,-1)&amp;" ficam de taxa.","Fiz uma conta com o "&amp;F38&amp;" de vocês: a cada 100 vendidos no iFood, uns R$ "&amp;ROUND(IF(G38="",35,G38)*100*0.152,-1)&amp;"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"&amp;B38&amp;", de graça, pra vocês verem funcionando. Posso fazer?"</f>
        <v/>
      </c>
      <c r="I38" s="3" t="inlineStr">
        <is>
          <t>A contatar</t>
        </is>
      </c>
      <c r="J38" s="3" t="n"/>
    </row>
    <row r="39" ht="150" customHeight="1">
      <c r="A39" s="2" t="n">
        <v>38</v>
      </c>
      <c r="B39" s="3" t="inlineStr">
        <is>
          <t>Starbulls Hamburgueria</t>
        </is>
      </c>
      <c r="C39" s="4" t="inlineStr">
        <is>
          <t>Brasília/DF</t>
        </is>
      </c>
      <c r="D39" s="5" t="inlineStr">
        <is>
          <t>abrir</t>
        </is>
      </c>
      <c r="E39" s="3" t="n"/>
      <c r="F39" s="3" t="n"/>
      <c r="G39" s="6" t="n"/>
      <c r="H39" s="7">
        <f>"Oi, pessoal da "&amp;B39&amp;"! Tudo bem? 🍔"&amp;CHAR(10)&amp;"Aqui é o "&amp;'Como usar'!$C$4&amp;". Ajudo hamburgueria a vender mais pelo próprio WhatsApp, sem taxa de app."&amp;CHAR(10)&amp;CHAR(10)&amp;IF(F39="","Fiz uma conta rápida: a cada 100 lanches de R$ 35 vendidos no iFood, uns R$ "&amp;ROUND(IF(G39="",35,G39)*100*0.152,-1)&amp;" ficam de taxa.","Fiz uma conta com o "&amp;F39&amp;" de vocês: a cada 100 vendidos no iFood, uns R$ "&amp;ROUND(IF(G39="",35,G39)*100*0.152,-1)&amp;"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"&amp;B39&amp;", de graça, pra vocês verem funcionando. Posso fazer?"</f>
        <v/>
      </c>
      <c r="I39" s="3" t="inlineStr">
        <is>
          <t>A contatar</t>
        </is>
      </c>
      <c r="J39" s="3" t="n"/>
    </row>
    <row r="40" ht="150" customHeight="1">
      <c r="A40" s="2" t="n">
        <v>39</v>
      </c>
      <c r="B40" s="3" t="inlineStr">
        <is>
          <t>Casa Burger Vila Velha</t>
        </is>
      </c>
      <c r="C40" s="4" t="inlineStr">
        <is>
          <t>Vila Velha/ES</t>
        </is>
      </c>
      <c r="D40" s="5" t="inlineStr">
        <is>
          <t>abrir</t>
        </is>
      </c>
      <c r="E40" s="3" t="n"/>
      <c r="F40" s="3" t="n"/>
      <c r="G40" s="6" t="n"/>
      <c r="H40" s="7">
        <f>"Oi, pessoal da "&amp;B40&amp;"! Tudo bem? 🍔"&amp;CHAR(10)&amp;"Aqui é o "&amp;'Como usar'!$C$4&amp;". Ajudo hamburgueria a vender mais pelo próprio WhatsApp, sem taxa de app."&amp;CHAR(10)&amp;CHAR(10)&amp;IF(F40="","Fiz uma conta rápida: a cada 100 lanches de R$ 35 vendidos no iFood, uns R$ "&amp;ROUND(IF(G40="",35,G40)*100*0.152,-1)&amp;" ficam de taxa.","Fiz uma conta com o "&amp;F40&amp;" de vocês: a cada 100 vendidos no iFood, uns R$ "&amp;ROUND(IF(G40="",35,G40)*100*0.152,-1)&amp;"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"&amp;B40&amp;", de graça, pra vocês verem funcionando. Posso fazer?"</f>
        <v/>
      </c>
      <c r="I40" s="3" t="inlineStr">
        <is>
          <t>A contatar</t>
        </is>
      </c>
      <c r="J40" s="3" t="n"/>
    </row>
    <row r="41" ht="150" customHeight="1">
      <c r="A41" s="2" t="n">
        <v>40</v>
      </c>
      <c r="B41" s="3" t="inlineStr">
        <is>
          <t>Favela Burger Delivery</t>
        </is>
      </c>
      <c r="C41" s="4" t="inlineStr">
        <is>
          <t>Vila Velha/ES</t>
        </is>
      </c>
      <c r="D41" s="5" t="inlineStr">
        <is>
          <t>abrir</t>
        </is>
      </c>
      <c r="E41" s="3" t="n"/>
      <c r="F41" s="3" t="n"/>
      <c r="G41" s="6" t="n"/>
      <c r="H41" s="7">
        <f>"Oi, pessoal da "&amp;B41&amp;"! Tudo bem? 🍔"&amp;CHAR(10)&amp;"Aqui é o "&amp;'Como usar'!$C$4&amp;". Ajudo hamburgueria a vender mais pelo próprio WhatsApp, sem taxa de app."&amp;CHAR(10)&amp;CHAR(10)&amp;IF(F41="","Fiz uma conta rápida: a cada 100 lanches de R$ 35 vendidos no iFood, uns R$ "&amp;ROUND(IF(G41="",35,G41)*100*0.152,-1)&amp;" ficam de taxa.","Fiz uma conta com o "&amp;F41&amp;" de vocês: a cada 100 vendidos no iFood, uns R$ "&amp;ROUND(IF(G41="",35,G41)*100*0.152,-1)&amp;"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"&amp;B41&amp;", de graça, pra vocês verem funcionando. Posso fazer?"</f>
        <v/>
      </c>
      <c r="I41" s="3" t="inlineStr">
        <is>
          <t>A contatar</t>
        </is>
      </c>
      <c r="J41" s="3" t="n"/>
    </row>
    <row r="42" ht="150" customHeight="1">
      <c r="A42" s="2" t="n">
        <v>41</v>
      </c>
      <c r="B42" s="3" t="inlineStr">
        <is>
          <t>Show Burger Hamburgueria Artesanal</t>
        </is>
      </c>
      <c r="C42" s="4" t="inlineStr">
        <is>
          <t>Vila Velha/ES</t>
        </is>
      </c>
      <c r="D42" s="5" t="inlineStr">
        <is>
          <t>abrir</t>
        </is>
      </c>
      <c r="E42" s="3" t="n"/>
      <c r="F42" s="3" t="n"/>
      <c r="G42" s="6" t="n"/>
      <c r="H42" s="7">
        <f>"Oi, pessoal da "&amp;B42&amp;"! Tudo bem? 🍔"&amp;CHAR(10)&amp;"Aqui é o "&amp;'Como usar'!$C$4&amp;". Ajudo hamburgueria a vender mais pelo próprio WhatsApp, sem taxa de app."&amp;CHAR(10)&amp;CHAR(10)&amp;IF(F42="","Fiz uma conta rápida: a cada 100 lanches de R$ 35 vendidos no iFood, uns R$ "&amp;ROUND(IF(G42="",35,G42)*100*0.152,-1)&amp;" ficam de taxa.","Fiz uma conta com o "&amp;F42&amp;" de vocês: a cada 100 vendidos no iFood, uns R$ "&amp;ROUND(IF(G42="",35,G42)*100*0.152,-1)&amp;"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"&amp;B42&amp;", de graça, pra vocês verem funcionando. Posso fazer?"</f>
        <v/>
      </c>
      <c r="I42" s="3" t="inlineStr">
        <is>
          <t>A contatar</t>
        </is>
      </c>
      <c r="J42" s="3" t="n"/>
    </row>
    <row r="43" ht="150" customHeight="1">
      <c r="A43" s="2" t="n">
        <v>42</v>
      </c>
      <c r="B43" s="3" t="inlineStr">
        <is>
          <t>Victoria Burger</t>
        </is>
      </c>
      <c r="C43" s="4" t="inlineStr">
        <is>
          <t>Vila Velha/ES</t>
        </is>
      </c>
      <c r="D43" s="5" t="inlineStr">
        <is>
          <t>abrir</t>
        </is>
      </c>
      <c r="E43" s="3" t="n"/>
      <c r="F43" s="3" t="n"/>
      <c r="G43" s="6" t="n"/>
      <c r="H43" s="7">
        <f>"Oi, pessoal da "&amp;B43&amp;"! Tudo bem? 🍔"&amp;CHAR(10)&amp;"Aqui é o "&amp;'Como usar'!$C$4&amp;". Ajudo hamburgueria a vender mais pelo próprio WhatsApp, sem taxa de app."&amp;CHAR(10)&amp;CHAR(10)&amp;IF(F43="","Fiz uma conta rápida: a cada 100 lanches de R$ 35 vendidos no iFood, uns R$ "&amp;ROUND(IF(G43="",35,G43)*100*0.152,-1)&amp;" ficam de taxa.","Fiz uma conta com o "&amp;F43&amp;" de vocês: a cada 100 vendidos no iFood, uns R$ "&amp;ROUND(IF(G43="",35,G43)*100*0.152,-1)&amp;"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"&amp;B43&amp;", de graça, pra vocês verem funcionando. Posso fazer?"</f>
        <v/>
      </c>
      <c r="I43" s="3" t="inlineStr">
        <is>
          <t>A contatar</t>
        </is>
      </c>
      <c r="J43" s="3" t="n"/>
    </row>
    <row r="44" ht="150" customHeight="1">
      <c r="A44" s="2" t="n">
        <v>43</v>
      </c>
      <c r="B44" s="3" t="inlineStr">
        <is>
          <t>Dlira Burger</t>
        </is>
      </c>
      <c r="C44" s="4" t="inlineStr">
        <is>
          <t>Aparecida de Goiânia/GO</t>
        </is>
      </c>
      <c r="D44" s="5" t="inlineStr">
        <is>
          <t>abrir</t>
        </is>
      </c>
      <c r="E44" s="3" t="n"/>
      <c r="F44" s="3" t="n"/>
      <c r="G44" s="6" t="n"/>
      <c r="H44" s="7">
        <f>"Oi, pessoal da "&amp;B44&amp;"! Tudo bem? 🍔"&amp;CHAR(10)&amp;"Aqui é o "&amp;'Como usar'!$C$4&amp;". Ajudo hamburgueria a vender mais pelo próprio WhatsApp, sem taxa de app."&amp;CHAR(10)&amp;CHAR(10)&amp;IF(F44="","Fiz uma conta rápida: a cada 100 lanches de R$ 35 vendidos no iFood, uns R$ "&amp;ROUND(IF(G44="",35,G44)*100*0.152,-1)&amp;" ficam de taxa.","Fiz uma conta com o "&amp;F44&amp;" de vocês: a cada 100 vendidos no iFood, uns R$ "&amp;ROUND(IF(G44="",35,G44)*100*0.152,-1)&amp;"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"&amp;B44&amp;", de graça, pra vocês verem funcionando. Posso fazer?"</f>
        <v/>
      </c>
      <c r="I44" s="3" t="inlineStr">
        <is>
          <t>A contatar</t>
        </is>
      </c>
      <c r="J44" s="3" t="n"/>
    </row>
    <row r="45" ht="150" customHeight="1">
      <c r="A45" s="2" t="n">
        <v>44</v>
      </c>
      <c r="B45" s="3" t="inlineStr">
        <is>
          <t>Best Burgers Artesanal</t>
        </is>
      </c>
      <c r="C45" s="4" t="inlineStr">
        <is>
          <t>Goiânia/GO</t>
        </is>
      </c>
      <c r="D45" s="5" t="inlineStr">
        <is>
          <t>abrir</t>
        </is>
      </c>
      <c r="E45" s="3" t="n"/>
      <c r="F45" s="3" t="n"/>
      <c r="G45" s="6" t="n"/>
      <c r="H45" s="7">
        <f>"Oi, pessoal da "&amp;B45&amp;"! Tudo bem? 🍔"&amp;CHAR(10)&amp;"Aqui é o "&amp;'Como usar'!$C$4&amp;". Ajudo hamburgueria a vender mais pelo próprio WhatsApp, sem taxa de app."&amp;CHAR(10)&amp;CHAR(10)&amp;IF(F45="","Fiz uma conta rápida: a cada 100 lanches de R$ 35 vendidos no iFood, uns R$ "&amp;ROUND(IF(G45="",35,G45)*100*0.152,-1)&amp;" ficam de taxa.","Fiz uma conta com o "&amp;F45&amp;" de vocês: a cada 100 vendidos no iFood, uns R$ "&amp;ROUND(IF(G45="",35,G45)*100*0.152,-1)&amp;"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"&amp;B45&amp;", de graça, pra vocês verem funcionando. Posso fazer?"</f>
        <v/>
      </c>
      <c r="I45" s="3" t="inlineStr">
        <is>
          <t>A contatar</t>
        </is>
      </c>
      <c r="J45" s="3" t="n"/>
    </row>
    <row r="46" ht="150" customHeight="1">
      <c r="A46" s="2" t="n">
        <v>45</v>
      </c>
      <c r="B46" s="3" t="inlineStr">
        <is>
          <t>Me Gusta Burger</t>
        </is>
      </c>
      <c r="C46" s="4" t="inlineStr">
        <is>
          <t>Goiânia/GO</t>
        </is>
      </c>
      <c r="D46" s="5" t="inlineStr">
        <is>
          <t>abrir</t>
        </is>
      </c>
      <c r="E46" s="3" t="n"/>
      <c r="F46" s="3" t="n"/>
      <c r="G46" s="6" t="n"/>
      <c r="H46" s="7">
        <f>"Oi, pessoal da "&amp;B46&amp;"! Tudo bem? 🍔"&amp;CHAR(10)&amp;"Aqui é o "&amp;'Como usar'!$C$4&amp;". Ajudo hamburgueria a vender mais pelo próprio WhatsApp, sem taxa de app."&amp;CHAR(10)&amp;CHAR(10)&amp;IF(F46="","Fiz uma conta rápida: a cada 100 lanches de R$ 35 vendidos no iFood, uns R$ "&amp;ROUND(IF(G46="",35,G46)*100*0.152,-1)&amp;" ficam de taxa.","Fiz uma conta com o "&amp;F46&amp;" de vocês: a cada 100 vendidos no iFood, uns R$ "&amp;ROUND(IF(G46="",35,G46)*100*0.152,-1)&amp;"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"&amp;B46&amp;", de graça, pra vocês verem funcionando. Posso fazer?"</f>
        <v/>
      </c>
      <c r="I46" s="3" t="inlineStr">
        <is>
          <t>A contatar</t>
        </is>
      </c>
      <c r="J46" s="3" t="n"/>
    </row>
    <row r="47" ht="150" customHeight="1">
      <c r="A47" s="2" t="n">
        <v>46</v>
      </c>
      <c r="B47" s="3" t="inlineStr">
        <is>
          <t>Mr Smash Burger Hamburgueria e Lanches</t>
        </is>
      </c>
      <c r="C47" s="4" t="inlineStr">
        <is>
          <t>Goiânia/GO</t>
        </is>
      </c>
      <c r="D47" s="5" t="inlineStr">
        <is>
          <t>abrir</t>
        </is>
      </c>
      <c r="E47" s="3" t="n"/>
      <c r="F47" s="3" t="n"/>
      <c r="G47" s="6" t="n"/>
      <c r="H47" s="7">
        <f>"Oi, pessoal da "&amp;B47&amp;"! Tudo bem? 🍔"&amp;CHAR(10)&amp;"Aqui é o "&amp;'Como usar'!$C$4&amp;". Ajudo hamburgueria a vender mais pelo próprio WhatsApp, sem taxa de app."&amp;CHAR(10)&amp;CHAR(10)&amp;IF(F47="","Fiz uma conta rápida: a cada 100 lanches de R$ 35 vendidos no iFood, uns R$ "&amp;ROUND(IF(G47="",35,G47)*100*0.152,-1)&amp;" ficam de taxa.","Fiz uma conta com o "&amp;F47&amp;" de vocês: a cada 100 vendidos no iFood, uns R$ "&amp;ROUND(IF(G47="",35,G47)*100*0.152,-1)&amp;"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"&amp;B47&amp;", de graça, pra vocês verem funcionando. Posso fazer?"</f>
        <v/>
      </c>
      <c r="I47" s="3" t="inlineStr">
        <is>
          <t>A contatar</t>
        </is>
      </c>
      <c r="J47" s="3" t="n"/>
    </row>
    <row r="48" ht="150" customHeight="1">
      <c r="A48" s="2" t="n">
        <v>47</v>
      </c>
      <c r="B48" s="3" t="inlineStr">
        <is>
          <t>Rafas Burgers</t>
        </is>
      </c>
      <c r="C48" s="4" t="inlineStr">
        <is>
          <t>Goiânia/GO</t>
        </is>
      </c>
      <c r="D48" s="5" t="inlineStr">
        <is>
          <t>abrir</t>
        </is>
      </c>
      <c r="E48" s="3" t="n"/>
      <c r="F48" s="3" t="n"/>
      <c r="G48" s="6" t="n"/>
      <c r="H48" s="7">
        <f>"Oi, pessoal da "&amp;B48&amp;"! Tudo bem? 🍔"&amp;CHAR(10)&amp;"Aqui é o "&amp;'Como usar'!$C$4&amp;". Ajudo hamburgueria a vender mais pelo próprio WhatsApp, sem taxa de app."&amp;CHAR(10)&amp;CHAR(10)&amp;IF(F48="","Fiz uma conta rápida: a cada 100 lanches de R$ 35 vendidos no iFood, uns R$ "&amp;ROUND(IF(G48="",35,G48)*100*0.152,-1)&amp;" ficam de taxa.","Fiz uma conta com o "&amp;F48&amp;" de vocês: a cada 100 vendidos no iFood, uns R$ "&amp;ROUND(IF(G48="",35,G48)*100*0.152,-1)&amp;"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"&amp;B48&amp;", de graça, pra vocês verem funcionando. Posso fazer?"</f>
        <v/>
      </c>
      <c r="I48" s="3" t="inlineStr">
        <is>
          <t>A contatar</t>
        </is>
      </c>
      <c r="J48" s="3" t="n"/>
    </row>
    <row r="49" ht="150" customHeight="1">
      <c r="A49" s="2" t="n">
        <v>48</v>
      </c>
      <c r="B49" s="3" t="inlineStr">
        <is>
          <t>Simple Burger</t>
        </is>
      </c>
      <c r="C49" s="4" t="inlineStr">
        <is>
          <t>Goiânia/GO</t>
        </is>
      </c>
      <c r="D49" s="5" t="inlineStr">
        <is>
          <t>abrir</t>
        </is>
      </c>
      <c r="E49" s="3" t="n"/>
      <c r="F49" s="3" t="n"/>
      <c r="G49" s="6" t="n"/>
      <c r="H49" s="7">
        <f>"Oi, pessoal da "&amp;B49&amp;"! Tudo bem? 🍔"&amp;CHAR(10)&amp;"Aqui é o "&amp;'Como usar'!$C$4&amp;". Ajudo hamburgueria a vender mais pelo próprio WhatsApp, sem taxa de app."&amp;CHAR(10)&amp;CHAR(10)&amp;IF(F49="","Fiz uma conta rápida: a cada 100 lanches de R$ 35 vendidos no iFood, uns R$ "&amp;ROUND(IF(G49="",35,G49)*100*0.152,-1)&amp;" ficam de taxa.","Fiz uma conta com o "&amp;F49&amp;" de vocês: a cada 100 vendidos no iFood, uns R$ "&amp;ROUND(IF(G49="",35,G49)*100*0.152,-1)&amp;"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"&amp;B49&amp;", de graça, pra vocês verem funcionando. Posso fazer?"</f>
        <v/>
      </c>
      <c r="I49" s="3" t="inlineStr">
        <is>
          <t>A contatar</t>
        </is>
      </c>
      <c r="J49" s="3" t="n"/>
    </row>
    <row r="50" ht="150" customHeight="1">
      <c r="A50" s="2" t="n">
        <v>49</v>
      </c>
      <c r="B50" s="3" t="inlineStr">
        <is>
          <t>Smash! Burger Artesanal</t>
        </is>
      </c>
      <c r="C50" s="4" t="inlineStr">
        <is>
          <t>Águas Lindas de Goiás/GO</t>
        </is>
      </c>
      <c r="D50" s="5" t="inlineStr">
        <is>
          <t>abrir</t>
        </is>
      </c>
      <c r="E50" s="3" t="n"/>
      <c r="F50" s="3" t="n"/>
      <c r="G50" s="6" t="n"/>
      <c r="H50" s="7">
        <f>"Oi, pessoal da "&amp;B50&amp;"! Tudo bem? 🍔"&amp;CHAR(10)&amp;"Aqui é o "&amp;'Como usar'!$C$4&amp;". Ajudo hamburgueria a vender mais pelo próprio WhatsApp, sem taxa de app."&amp;CHAR(10)&amp;CHAR(10)&amp;IF(F50="","Fiz uma conta rápida: a cada 100 lanches de R$ 35 vendidos no iFood, uns R$ "&amp;ROUND(IF(G50="",35,G50)*100*0.152,-1)&amp;" ficam de taxa.","Fiz uma conta com o "&amp;F50&amp;" de vocês: a cada 100 vendidos no iFood, uns R$ "&amp;ROUND(IF(G50="",35,G50)*100*0.152,-1)&amp;"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"&amp;B50&amp;", de graça, pra vocês verem funcionando. Posso fazer?"</f>
        <v/>
      </c>
      <c r="I50" s="3" t="inlineStr">
        <is>
          <t>A contatar</t>
        </is>
      </c>
      <c r="J50" s="3" t="n"/>
    </row>
    <row r="51" ht="150" customHeight="1">
      <c r="A51" s="2" t="n">
        <v>50</v>
      </c>
      <c r="B51" s="3" t="inlineStr">
        <is>
          <t>American Smash Burger</t>
        </is>
      </c>
      <c r="C51" s="4" t="inlineStr">
        <is>
          <t>São Luís/MA</t>
        </is>
      </c>
      <c r="D51" s="5" t="inlineStr">
        <is>
          <t>abrir</t>
        </is>
      </c>
      <c r="E51" s="3" t="n"/>
      <c r="F51" s="3" t="n"/>
      <c r="G51" s="6" t="n"/>
      <c r="H51" s="7">
        <f>"Oi, pessoal da "&amp;B51&amp;"! Tudo bem? 🍔"&amp;CHAR(10)&amp;"Aqui é o "&amp;'Como usar'!$C$4&amp;". Ajudo hamburgueria a vender mais pelo próprio WhatsApp, sem taxa de app."&amp;CHAR(10)&amp;CHAR(10)&amp;IF(F51="","Fiz uma conta rápida: a cada 100 lanches de R$ 35 vendidos no iFood, uns R$ "&amp;ROUND(IF(G51="",35,G51)*100*0.152,-1)&amp;" ficam de taxa.","Fiz uma conta com o "&amp;F51&amp;" de vocês: a cada 100 vendidos no iFood, uns R$ "&amp;ROUND(IF(G51="",35,G51)*100*0.152,-1)&amp;"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"&amp;B51&amp;", de graça, pra vocês verem funcionando. Posso fazer?"</f>
        <v/>
      </c>
      <c r="I51" s="3" t="inlineStr">
        <is>
          <t>A contatar</t>
        </is>
      </c>
      <c r="J51" s="3" t="n"/>
    </row>
    <row r="52" ht="150" customHeight="1">
      <c r="A52" s="2" t="n">
        <v>51</v>
      </c>
      <c r="B52" s="3" t="inlineStr">
        <is>
          <t>Hamburgueria Blacks Burguer e Churrasco</t>
        </is>
      </c>
      <c r="C52" s="4" t="inlineStr">
        <is>
          <t>São Luís/MA</t>
        </is>
      </c>
      <c r="D52" s="5" t="inlineStr">
        <is>
          <t>abrir</t>
        </is>
      </c>
      <c r="E52" s="3" t="n"/>
      <c r="F52" s="3" t="n"/>
      <c r="G52" s="6" t="n"/>
      <c r="H52" s="7">
        <f>"Oi, pessoal da "&amp;B52&amp;"! Tudo bem? 🍔"&amp;CHAR(10)&amp;"Aqui é o "&amp;'Como usar'!$C$4&amp;". Ajudo hamburgueria a vender mais pelo próprio WhatsApp, sem taxa de app."&amp;CHAR(10)&amp;CHAR(10)&amp;IF(F52="","Fiz uma conta rápida: a cada 100 lanches de R$ 35 vendidos no iFood, uns R$ "&amp;ROUND(IF(G52="",35,G52)*100*0.152,-1)&amp;" ficam de taxa.","Fiz uma conta com o "&amp;F52&amp;" de vocês: a cada 100 vendidos no iFood, uns R$ "&amp;ROUND(IF(G52="",35,G52)*100*0.152,-1)&amp;"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"&amp;B52&amp;", de graça, pra vocês verem funcionando. Posso fazer?"</f>
        <v/>
      </c>
      <c r="I52" s="3" t="inlineStr">
        <is>
          <t>A contatar</t>
        </is>
      </c>
      <c r="J52" s="3" t="n"/>
    </row>
    <row r="53" ht="150" customHeight="1">
      <c r="A53" s="2" t="n">
        <v>52</v>
      </c>
      <c r="B53" s="3" t="inlineStr">
        <is>
          <t>Hamburgueria Rocks Burguer</t>
        </is>
      </c>
      <c r="C53" s="4" t="inlineStr">
        <is>
          <t>São Luís/MA</t>
        </is>
      </c>
      <c r="D53" s="5" t="inlineStr">
        <is>
          <t>abrir</t>
        </is>
      </c>
      <c r="E53" s="3" t="n"/>
      <c r="F53" s="3" t="n"/>
      <c r="G53" s="6" t="n"/>
      <c r="H53" s="7">
        <f>"Oi, pessoal da "&amp;B53&amp;"! Tudo bem? 🍔"&amp;CHAR(10)&amp;"Aqui é o "&amp;'Como usar'!$C$4&amp;". Ajudo hamburgueria a vender mais pelo próprio WhatsApp, sem taxa de app."&amp;CHAR(10)&amp;CHAR(10)&amp;IF(F53="","Fiz uma conta rápida: a cada 100 lanches de R$ 35 vendidos no iFood, uns R$ "&amp;ROUND(IF(G53="",35,G53)*100*0.152,-1)&amp;" ficam de taxa.","Fiz uma conta com o "&amp;F53&amp;" de vocês: a cada 100 vendidos no iFood, uns R$ "&amp;ROUND(IF(G53="",35,G53)*100*0.152,-1)&amp;"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"&amp;B53&amp;", de graça, pra vocês verem funcionando. Posso fazer?"</f>
        <v/>
      </c>
      <c r="I53" s="3" t="inlineStr">
        <is>
          <t>A contatar</t>
        </is>
      </c>
      <c r="J53" s="3" t="n"/>
    </row>
    <row r="54" ht="150" customHeight="1">
      <c r="A54" s="2" t="n">
        <v>53</v>
      </c>
      <c r="B54" s="3" t="inlineStr">
        <is>
          <t>Hamburgueria Vigore Burger</t>
        </is>
      </c>
      <c r="C54" s="4" t="inlineStr">
        <is>
          <t>São Luís/MA</t>
        </is>
      </c>
      <c r="D54" s="5" t="inlineStr">
        <is>
          <t>abrir</t>
        </is>
      </c>
      <c r="E54" s="3" t="n"/>
      <c r="F54" s="3" t="n"/>
      <c r="G54" s="6" t="n"/>
      <c r="H54" s="7">
        <f>"Oi, pessoal da "&amp;B54&amp;"! Tudo bem? 🍔"&amp;CHAR(10)&amp;"Aqui é o "&amp;'Como usar'!$C$4&amp;". Ajudo hamburgueria a vender mais pelo próprio WhatsApp, sem taxa de app."&amp;CHAR(10)&amp;CHAR(10)&amp;IF(F54="","Fiz uma conta rápida: a cada 100 lanches de R$ 35 vendidos no iFood, uns R$ "&amp;ROUND(IF(G54="",35,G54)*100*0.152,-1)&amp;" ficam de taxa.","Fiz uma conta com o "&amp;F54&amp;" de vocês: a cada 100 vendidos no iFood, uns R$ "&amp;ROUND(IF(G54="",35,G54)*100*0.152,-1)&amp;"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"&amp;B54&amp;", de graça, pra vocês verem funcionando. Posso fazer?"</f>
        <v/>
      </c>
      <c r="I54" s="3" t="inlineStr">
        <is>
          <t>A contatar</t>
        </is>
      </c>
      <c r="J54" s="3" t="n"/>
    </row>
    <row r="55" ht="150" customHeight="1">
      <c r="A55" s="2" t="n">
        <v>54</v>
      </c>
      <c r="B55" s="3" t="inlineStr">
        <is>
          <t>Hamburgueria Bê de Burguer Artesanal</t>
        </is>
      </c>
      <c r="C55" s="4" t="inlineStr">
        <is>
          <t>Belo Horizonte/MG</t>
        </is>
      </c>
      <c r="D55" s="5" t="inlineStr">
        <is>
          <t>abrir</t>
        </is>
      </c>
      <c r="E55" s="3" t="n"/>
      <c r="F55" s="3" t="n"/>
      <c r="G55" s="6" t="n"/>
      <c r="H55" s="7">
        <f>"Oi, pessoal da "&amp;B55&amp;"! Tudo bem? 🍔"&amp;CHAR(10)&amp;"Aqui é o "&amp;'Como usar'!$C$4&amp;". Ajudo hamburgueria a vender mais pelo próprio WhatsApp, sem taxa de app."&amp;CHAR(10)&amp;CHAR(10)&amp;IF(F55="","Fiz uma conta rápida: a cada 100 lanches de R$ 35 vendidos no iFood, uns R$ "&amp;ROUND(IF(G55="",35,G55)*100*0.152,-1)&amp;" ficam de taxa.","Fiz uma conta com o "&amp;F55&amp;" de vocês: a cada 100 vendidos no iFood, uns R$ "&amp;ROUND(IF(G55="",35,G55)*100*0.152,-1)&amp;"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"&amp;B55&amp;", de graça, pra vocês verem funcionando. Posso fazer?"</f>
        <v/>
      </c>
      <c r="I55" s="3" t="inlineStr">
        <is>
          <t>A contatar</t>
        </is>
      </c>
      <c r="J55" s="3" t="n"/>
    </row>
    <row r="56" ht="150" customHeight="1">
      <c r="A56" s="2" t="n">
        <v>55</v>
      </c>
      <c r="B56" s="3" t="inlineStr">
        <is>
          <t>Killer Fast Hamburgueria</t>
        </is>
      </c>
      <c r="C56" s="4" t="inlineStr">
        <is>
          <t>Belo Horizonte/MG</t>
        </is>
      </c>
      <c r="D56" s="5" t="inlineStr">
        <is>
          <t>abrir</t>
        </is>
      </c>
      <c r="E56" s="3" t="n"/>
      <c r="F56" s="3" t="n"/>
      <c r="G56" s="6" t="n"/>
      <c r="H56" s="7">
        <f>"Oi, pessoal da "&amp;B56&amp;"! Tudo bem? 🍔"&amp;CHAR(10)&amp;"Aqui é o "&amp;'Como usar'!$C$4&amp;". Ajudo hamburgueria a vender mais pelo próprio WhatsApp, sem taxa de app."&amp;CHAR(10)&amp;CHAR(10)&amp;IF(F56="","Fiz uma conta rápida: a cada 100 lanches de R$ 35 vendidos no iFood, uns R$ "&amp;ROUND(IF(G56="",35,G56)*100*0.152,-1)&amp;" ficam de taxa.","Fiz uma conta com o "&amp;F56&amp;" de vocês: a cada 100 vendidos no iFood, uns R$ "&amp;ROUND(IF(G56="",35,G56)*100*0.152,-1)&amp;"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"&amp;B56&amp;", de graça, pra vocês verem funcionando. Posso fazer?"</f>
        <v/>
      </c>
      <c r="I56" s="3" t="inlineStr">
        <is>
          <t>A contatar</t>
        </is>
      </c>
      <c r="J56" s="3" t="n"/>
    </row>
    <row r="57" ht="150" customHeight="1">
      <c r="A57" s="2" t="n">
        <v>56</v>
      </c>
      <c r="B57" s="3" t="inlineStr">
        <is>
          <t>Seleto Hamburgueria Artesanal</t>
        </is>
      </c>
      <c r="C57" s="4" t="inlineStr">
        <is>
          <t>Belo Horizonte/MG</t>
        </is>
      </c>
      <c r="D57" s="5" t="inlineStr">
        <is>
          <t>abrir</t>
        </is>
      </c>
      <c r="E57" s="3" t="n"/>
      <c r="F57" s="3" t="n"/>
      <c r="G57" s="6" t="n"/>
      <c r="H57" s="7">
        <f>"Oi, pessoal da "&amp;B57&amp;"! Tudo bem? 🍔"&amp;CHAR(10)&amp;"Aqui é o "&amp;'Como usar'!$C$4&amp;". Ajudo hamburgueria a vender mais pelo próprio WhatsApp, sem taxa de app."&amp;CHAR(10)&amp;CHAR(10)&amp;IF(F57="","Fiz uma conta rápida: a cada 100 lanches de R$ 35 vendidos no iFood, uns R$ "&amp;ROUND(IF(G57="",35,G57)*100*0.152,-1)&amp;" ficam de taxa.","Fiz uma conta com o "&amp;F57&amp;" de vocês: a cada 100 vendidos no iFood, uns R$ "&amp;ROUND(IF(G57="",35,G57)*100*0.152,-1)&amp;"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"&amp;B57&amp;", de graça, pra vocês verem funcionando. Posso fazer?"</f>
        <v/>
      </c>
      <c r="I57" s="3" t="inlineStr">
        <is>
          <t>A contatar</t>
        </is>
      </c>
      <c r="J57" s="3" t="n"/>
    </row>
    <row r="58" ht="150" customHeight="1">
      <c r="A58" s="2" t="n">
        <v>57</v>
      </c>
      <c r="B58" s="3" t="inlineStr">
        <is>
          <t>Seuburger Smash</t>
        </is>
      </c>
      <c r="C58" s="4" t="inlineStr">
        <is>
          <t>Belo Horizonte/MG</t>
        </is>
      </c>
      <c r="D58" s="5" t="inlineStr">
        <is>
          <t>abrir</t>
        </is>
      </c>
      <c r="E58" s="3" t="n"/>
      <c r="F58" s="3" t="n"/>
      <c r="G58" s="6" t="n"/>
      <c r="H58" s="7">
        <f>"Oi, pessoal da "&amp;B58&amp;"! Tudo bem? 🍔"&amp;CHAR(10)&amp;"Aqui é o "&amp;'Como usar'!$C$4&amp;". Ajudo hamburgueria a vender mais pelo próprio WhatsApp, sem taxa de app."&amp;CHAR(10)&amp;CHAR(10)&amp;IF(F58="","Fiz uma conta rápida: a cada 100 lanches de R$ 35 vendidos no iFood, uns R$ "&amp;ROUND(IF(G58="",35,G58)*100*0.152,-1)&amp;" ficam de taxa.","Fiz uma conta com o "&amp;F58&amp;" de vocês: a cada 100 vendidos no iFood, uns R$ "&amp;ROUND(IF(G58="",35,G58)*100*0.152,-1)&amp;"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"&amp;B58&amp;", de graça, pra vocês verem funcionando. Posso fazer?"</f>
        <v/>
      </c>
      <c r="I58" s="3" t="inlineStr">
        <is>
          <t>A contatar</t>
        </is>
      </c>
      <c r="J58" s="3" t="n"/>
    </row>
    <row r="59" ht="150" customHeight="1">
      <c r="A59" s="2" t="n">
        <v>58</v>
      </c>
      <c r="B59" s="3" t="inlineStr">
        <is>
          <t>Smash Lovers Hamburgueria</t>
        </is>
      </c>
      <c r="C59" s="4" t="inlineStr">
        <is>
          <t>Belo Horizonte/MG</t>
        </is>
      </c>
      <c r="D59" s="5" t="inlineStr">
        <is>
          <t>abrir</t>
        </is>
      </c>
      <c r="E59" s="3" t="n"/>
      <c r="F59" s="3" t="n"/>
      <c r="G59" s="6" t="n"/>
      <c r="H59" s="7">
        <f>"Oi, pessoal da "&amp;B59&amp;"! Tudo bem? 🍔"&amp;CHAR(10)&amp;"Aqui é o "&amp;'Como usar'!$C$4&amp;". Ajudo hamburgueria a vender mais pelo próprio WhatsApp, sem taxa de app."&amp;CHAR(10)&amp;CHAR(10)&amp;IF(F59="","Fiz uma conta rápida: a cada 100 lanches de R$ 35 vendidos no iFood, uns R$ "&amp;ROUND(IF(G59="",35,G59)*100*0.152,-1)&amp;" ficam de taxa.","Fiz uma conta com o "&amp;F59&amp;" de vocês: a cada 100 vendidos no iFood, uns R$ "&amp;ROUND(IF(G59="",35,G59)*100*0.152,-1)&amp;"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"&amp;B59&amp;", de graça, pra vocês verem funcionando. Posso fazer?"</f>
        <v/>
      </c>
      <c r="I59" s="3" t="inlineStr">
        <is>
          <t>A contatar</t>
        </is>
      </c>
      <c r="J59" s="3" t="n"/>
    </row>
    <row r="60" ht="150" customHeight="1">
      <c r="A60" s="2" t="n">
        <v>59</v>
      </c>
      <c r="B60" s="3" t="inlineStr">
        <is>
          <t>Universo Food Bh</t>
        </is>
      </c>
      <c r="C60" s="4" t="inlineStr">
        <is>
          <t>Belo Horizonte/MG</t>
        </is>
      </c>
      <c r="D60" s="5" t="inlineStr">
        <is>
          <t>abrir</t>
        </is>
      </c>
      <c r="E60" s="3" t="n"/>
      <c r="F60" s="3" t="n"/>
      <c r="G60" s="6" t="n"/>
      <c r="H60" s="7">
        <f>"Oi, pessoal da "&amp;B60&amp;"! Tudo bem? 🍔"&amp;CHAR(10)&amp;"Aqui é o "&amp;'Como usar'!$C$4&amp;". Ajudo hamburgueria a vender mais pelo próprio WhatsApp, sem taxa de app."&amp;CHAR(10)&amp;CHAR(10)&amp;IF(F60="","Fiz uma conta rápida: a cada 100 lanches de R$ 35 vendidos no iFood, uns R$ "&amp;ROUND(IF(G60="",35,G60)*100*0.152,-1)&amp;" ficam de taxa.","Fiz uma conta com o "&amp;F60&amp;" de vocês: a cada 100 vendidos no iFood, uns R$ "&amp;ROUND(IF(G60="",35,G60)*100*0.152,-1)&amp;"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"&amp;B60&amp;", de graça, pra vocês verem funcionando. Posso fazer?"</f>
        <v/>
      </c>
      <c r="I60" s="3" t="inlineStr">
        <is>
          <t>A contatar</t>
        </is>
      </c>
      <c r="J60" s="3" t="n"/>
    </row>
    <row r="61" ht="150" customHeight="1">
      <c r="A61" s="2" t="n">
        <v>60</v>
      </c>
      <c r="B61" s="3" t="inlineStr">
        <is>
          <t>Mr. Smash Burguer</t>
        </is>
      </c>
      <c r="C61" s="4" t="inlineStr">
        <is>
          <t>Uberaba/MG</t>
        </is>
      </c>
      <c r="D61" s="5" t="inlineStr">
        <is>
          <t>abrir</t>
        </is>
      </c>
      <c r="E61" s="3" t="n"/>
      <c r="F61" s="3" t="n"/>
      <c r="G61" s="6" t="n"/>
      <c r="H61" s="7">
        <f>"Oi, pessoal da "&amp;B61&amp;"! Tudo bem? 🍔"&amp;CHAR(10)&amp;"Aqui é o "&amp;'Como usar'!$C$4&amp;". Ajudo hamburgueria a vender mais pelo próprio WhatsApp, sem taxa de app."&amp;CHAR(10)&amp;CHAR(10)&amp;IF(F61="","Fiz uma conta rápida: a cada 100 lanches de R$ 35 vendidos no iFood, uns R$ "&amp;ROUND(IF(G61="",35,G61)*100*0.152,-1)&amp;" ficam de taxa.","Fiz uma conta com o "&amp;F61&amp;" de vocês: a cada 100 vendidos no iFood, uns R$ "&amp;ROUND(IF(G61="",35,G61)*100*0.152,-1)&amp;"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"&amp;B61&amp;", de graça, pra vocês verem funcionando. Posso fazer?"</f>
        <v/>
      </c>
      <c r="I61" s="3" t="inlineStr">
        <is>
          <t>A contatar</t>
        </is>
      </c>
      <c r="J61" s="3" t="n"/>
    </row>
    <row r="62" ht="150" customHeight="1">
      <c r="A62" s="2" t="n">
        <v>61</v>
      </c>
      <c r="B62" s="3" t="inlineStr">
        <is>
          <t>Alemanha Burger's</t>
        </is>
      </c>
      <c r="C62" s="4" t="inlineStr">
        <is>
          <t>Uberlândia/MG</t>
        </is>
      </c>
      <c r="D62" s="5" t="inlineStr">
        <is>
          <t>abrir</t>
        </is>
      </c>
      <c r="E62" s="3" t="n"/>
      <c r="F62" s="3" t="n"/>
      <c r="G62" s="6" t="n"/>
      <c r="H62" s="7">
        <f>"Oi, pessoal da "&amp;B62&amp;"! Tudo bem? 🍔"&amp;CHAR(10)&amp;"Aqui é o "&amp;'Como usar'!$C$4&amp;". Ajudo hamburgueria a vender mais pelo próprio WhatsApp, sem taxa de app."&amp;CHAR(10)&amp;CHAR(10)&amp;IF(F62="","Fiz uma conta rápida: a cada 100 lanches de R$ 35 vendidos no iFood, uns R$ "&amp;ROUND(IF(G62="",35,G62)*100*0.152,-1)&amp;" ficam de taxa.","Fiz uma conta com o "&amp;F62&amp;" de vocês: a cada 100 vendidos no iFood, uns R$ "&amp;ROUND(IF(G62="",35,G62)*100*0.152,-1)&amp;"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"&amp;B62&amp;", de graça, pra vocês verem funcionando. Posso fazer?"</f>
        <v/>
      </c>
      <c r="I62" s="3" t="inlineStr">
        <is>
          <t>A contatar</t>
        </is>
      </c>
      <c r="J62" s="3" t="n"/>
    </row>
    <row r="63" ht="150" customHeight="1">
      <c r="A63" s="2" t="n">
        <v>62</v>
      </c>
      <c r="B63" s="3" t="inlineStr">
        <is>
          <t>The Burger Town</t>
        </is>
      </c>
      <c r="C63" s="4" t="inlineStr">
        <is>
          <t>Uberlândia/MG</t>
        </is>
      </c>
      <c r="D63" s="5" t="inlineStr">
        <is>
          <t>abrir</t>
        </is>
      </c>
      <c r="E63" s="3" t="n"/>
      <c r="F63" s="3" t="n"/>
      <c r="G63" s="6" t="n"/>
      <c r="H63" s="7">
        <f>"Oi, pessoal da "&amp;B63&amp;"! Tudo bem? 🍔"&amp;CHAR(10)&amp;"Aqui é o "&amp;'Como usar'!$C$4&amp;". Ajudo hamburgueria a vender mais pelo próprio WhatsApp, sem taxa de app."&amp;CHAR(10)&amp;CHAR(10)&amp;IF(F63="","Fiz uma conta rápida: a cada 100 lanches de R$ 35 vendidos no iFood, uns R$ "&amp;ROUND(IF(G63="",35,G63)*100*0.152,-1)&amp;" ficam de taxa.","Fiz uma conta com o "&amp;F63&amp;" de vocês: a cada 100 vendidos no iFood, uns R$ "&amp;ROUND(IF(G63="",35,G63)*100*0.152,-1)&amp;"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"&amp;B63&amp;", de graça, pra vocês verem funcionando. Posso fazer?"</f>
        <v/>
      </c>
      <c r="I63" s="3" t="inlineStr">
        <is>
          <t>A contatar</t>
        </is>
      </c>
      <c r="J63" s="3" t="n"/>
    </row>
    <row r="64" ht="150" customHeight="1">
      <c r="A64" s="2" t="n">
        <v>63</v>
      </c>
      <c r="B64" s="3" t="inlineStr">
        <is>
          <t>Tomahawk Burguer</t>
        </is>
      </c>
      <c r="C64" s="4" t="inlineStr">
        <is>
          <t>Uberlândia/MG</t>
        </is>
      </c>
      <c r="D64" s="5" t="inlineStr">
        <is>
          <t>abrir</t>
        </is>
      </c>
      <c r="E64" s="3" t="n"/>
      <c r="F64" s="3" t="n"/>
      <c r="G64" s="6" t="n"/>
      <c r="H64" s="7">
        <f>"Oi, pessoal da "&amp;B64&amp;"! Tudo bem? 🍔"&amp;CHAR(10)&amp;"Aqui é o "&amp;'Como usar'!$C$4&amp;". Ajudo hamburgueria a vender mais pelo próprio WhatsApp, sem taxa de app."&amp;CHAR(10)&amp;CHAR(10)&amp;IF(F64="","Fiz uma conta rápida: a cada 100 lanches de R$ 35 vendidos no iFood, uns R$ "&amp;ROUND(IF(G64="",35,G64)*100*0.152,-1)&amp;" ficam de taxa.","Fiz uma conta com o "&amp;F64&amp;" de vocês: a cada 100 vendidos no iFood, uns R$ "&amp;ROUND(IF(G64="",35,G64)*100*0.152,-1)&amp;"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"&amp;B64&amp;", de graça, pra vocês verem funcionando. Posso fazer?"</f>
        <v/>
      </c>
      <c r="I64" s="3" t="inlineStr">
        <is>
          <t>A contatar</t>
        </is>
      </c>
      <c r="J64" s="3" t="n"/>
    </row>
    <row r="65" ht="150" customHeight="1">
      <c r="A65" s="2" t="n">
        <v>64</v>
      </c>
      <c r="B65" s="3" t="inlineStr">
        <is>
          <t>Vintage Burguer</t>
        </is>
      </c>
      <c r="C65" s="4" t="inlineStr">
        <is>
          <t>Uberlândia/MG</t>
        </is>
      </c>
      <c r="D65" s="5" t="inlineStr">
        <is>
          <t>abrir</t>
        </is>
      </c>
      <c r="E65" s="3" t="n"/>
      <c r="F65" s="3" t="n"/>
      <c r="G65" s="6" t="n"/>
      <c r="H65" s="7">
        <f>"Oi, pessoal da "&amp;B65&amp;"! Tudo bem? 🍔"&amp;CHAR(10)&amp;"Aqui é o "&amp;'Como usar'!$C$4&amp;". Ajudo hamburgueria a vender mais pelo próprio WhatsApp, sem taxa de app."&amp;CHAR(10)&amp;CHAR(10)&amp;IF(F65="","Fiz uma conta rápida: a cada 100 lanches de R$ 35 vendidos no iFood, uns R$ "&amp;ROUND(IF(G65="",35,G65)*100*0.152,-1)&amp;" ficam de taxa.","Fiz uma conta com o "&amp;F65&amp;" de vocês: a cada 100 vendidos no iFood, uns R$ "&amp;ROUND(IF(G65="",35,G65)*100*0.152,-1)&amp;"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"&amp;B65&amp;", de graça, pra vocês verem funcionando. Posso fazer?"</f>
        <v/>
      </c>
      <c r="I65" s="3" t="inlineStr">
        <is>
          <t>A contatar</t>
        </is>
      </c>
      <c r="J65" s="3" t="n"/>
    </row>
    <row r="66" ht="150" customHeight="1">
      <c r="A66" s="2" t="n">
        <v>65</v>
      </c>
      <c r="B66" s="3" t="inlineStr">
        <is>
          <t>Will Smash Burger</t>
        </is>
      </c>
      <c r="C66" s="4" t="inlineStr">
        <is>
          <t>Uberlândia/MG</t>
        </is>
      </c>
      <c r="D66" s="5" t="inlineStr">
        <is>
          <t>abrir</t>
        </is>
      </c>
      <c r="E66" s="3" t="n"/>
      <c r="F66" s="3" t="n"/>
      <c r="G66" s="6" t="n"/>
      <c r="H66" s="7">
        <f>"Oi, pessoal da "&amp;B66&amp;"! Tudo bem? 🍔"&amp;CHAR(10)&amp;"Aqui é o "&amp;'Como usar'!$C$4&amp;". Ajudo hamburgueria a vender mais pelo próprio WhatsApp, sem taxa de app."&amp;CHAR(10)&amp;CHAR(10)&amp;IF(F66="","Fiz uma conta rápida: a cada 100 lanches de R$ 35 vendidos no iFood, uns R$ "&amp;ROUND(IF(G66="",35,G66)*100*0.152,-1)&amp;" ficam de taxa.","Fiz uma conta com o "&amp;F66&amp;" de vocês: a cada 100 vendidos no iFood, uns R$ "&amp;ROUND(IF(G66="",35,G66)*100*0.152,-1)&amp;"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"&amp;B66&amp;", de graça, pra vocês verem funcionando. Posso fazer?"</f>
        <v/>
      </c>
      <c r="I66" s="3" t="inlineStr">
        <is>
          <t>A contatar</t>
        </is>
      </c>
      <c r="J66" s="3" t="n"/>
    </row>
    <row r="67" ht="150" customHeight="1">
      <c r="A67" s="2" t="n">
        <v>66</v>
      </c>
      <c r="B67" s="3" t="inlineStr">
        <is>
          <t>Zorro Burger</t>
        </is>
      </c>
      <c r="C67" s="4" t="inlineStr">
        <is>
          <t>Uberlândia/MG</t>
        </is>
      </c>
      <c r="D67" s="5" t="inlineStr">
        <is>
          <t>abrir</t>
        </is>
      </c>
      <c r="E67" s="3" t="n"/>
      <c r="F67" s="3" t="n"/>
      <c r="G67" s="6" t="n"/>
      <c r="H67" s="7">
        <f>"Oi, pessoal da "&amp;B67&amp;"! Tudo bem? 🍔"&amp;CHAR(10)&amp;"Aqui é o "&amp;'Como usar'!$C$4&amp;". Ajudo hamburgueria a vender mais pelo próprio WhatsApp, sem taxa de app."&amp;CHAR(10)&amp;CHAR(10)&amp;IF(F67="","Fiz uma conta rápida: a cada 100 lanches de R$ 35 vendidos no iFood, uns R$ "&amp;ROUND(IF(G67="",35,G67)*100*0.152,-1)&amp;" ficam de taxa.","Fiz uma conta com o "&amp;F67&amp;" de vocês: a cada 100 vendidos no iFood, uns R$ "&amp;ROUND(IF(G67="",35,G67)*100*0.152,-1)&amp;"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"&amp;B67&amp;", de graça, pra vocês verem funcionando. Posso fazer?"</f>
        <v/>
      </c>
      <c r="I67" s="3" t="inlineStr">
        <is>
          <t>A contatar</t>
        </is>
      </c>
      <c r="J67" s="3" t="n"/>
    </row>
    <row r="68" ht="150" customHeight="1">
      <c r="A68" s="2" t="n">
        <v>67</v>
      </c>
      <c r="B68" s="3" t="inlineStr">
        <is>
          <t>Hamburgueria Betão</t>
        </is>
      </c>
      <c r="C68" s="4" t="inlineStr">
        <is>
          <t>Unaí/MG</t>
        </is>
      </c>
      <c r="D68" s="5" t="inlineStr">
        <is>
          <t>abrir</t>
        </is>
      </c>
      <c r="E68" s="3" t="n"/>
      <c r="F68" s="3" t="n"/>
      <c r="G68" s="6" t="n"/>
      <c r="H68" s="7">
        <f>"Oi, pessoal da "&amp;B68&amp;"! Tudo bem? 🍔"&amp;CHAR(10)&amp;"Aqui é o "&amp;'Como usar'!$C$4&amp;". Ajudo hamburgueria a vender mais pelo próprio WhatsApp, sem taxa de app."&amp;CHAR(10)&amp;CHAR(10)&amp;IF(F68="","Fiz uma conta rápida: a cada 100 lanches de R$ 35 vendidos no iFood, uns R$ "&amp;ROUND(IF(G68="",35,G68)*100*0.152,-1)&amp;" ficam de taxa.","Fiz uma conta com o "&amp;F68&amp;" de vocês: a cada 100 vendidos no iFood, uns R$ "&amp;ROUND(IF(G68="",35,G68)*100*0.152,-1)&amp;"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"&amp;B68&amp;", de graça, pra vocês verem funcionando. Posso fazer?"</f>
        <v/>
      </c>
      <c r="I68" s="3" t="inlineStr">
        <is>
          <t>A contatar</t>
        </is>
      </c>
      <c r="J68" s="3" t="n"/>
    </row>
    <row r="69" ht="150" customHeight="1">
      <c r="A69" s="2" t="n">
        <v>68</v>
      </c>
      <c r="B69" s="3" t="inlineStr">
        <is>
          <t>Arena Burger</t>
        </is>
      </c>
      <c r="C69" s="4" t="inlineStr">
        <is>
          <t>Campo Grande/MS</t>
        </is>
      </c>
      <c r="D69" s="5" t="inlineStr">
        <is>
          <t>abrir</t>
        </is>
      </c>
      <c r="E69" s="3" t="n"/>
      <c r="F69" s="3" t="n"/>
      <c r="G69" s="6" t="n"/>
      <c r="H69" s="7">
        <f>"Oi, pessoal da "&amp;B69&amp;"! Tudo bem? 🍔"&amp;CHAR(10)&amp;"Aqui é o "&amp;'Como usar'!$C$4&amp;". Ajudo hamburgueria a vender mais pelo próprio WhatsApp, sem taxa de app."&amp;CHAR(10)&amp;CHAR(10)&amp;IF(F69="","Fiz uma conta rápida: a cada 100 lanches de R$ 35 vendidos no iFood, uns R$ "&amp;ROUND(IF(G69="",35,G69)*100*0.152,-1)&amp;" ficam de taxa.","Fiz uma conta com o "&amp;F69&amp;" de vocês: a cada 100 vendidos no iFood, uns R$ "&amp;ROUND(IF(G69="",35,G69)*100*0.152,-1)&amp;"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"&amp;B69&amp;", de graça, pra vocês verem funcionando. Posso fazer?"</f>
        <v/>
      </c>
      <c r="I69" s="3" t="inlineStr">
        <is>
          <t>A contatar</t>
        </is>
      </c>
      <c r="J69" s="3" t="n"/>
    </row>
    <row r="70" ht="150" customHeight="1">
      <c r="A70" s="2" t="n">
        <v>69</v>
      </c>
      <c r="B70" s="3" t="inlineStr">
        <is>
          <t>Burger Pub</t>
        </is>
      </c>
      <c r="C70" s="4" t="inlineStr">
        <is>
          <t>Campo Grande/MS</t>
        </is>
      </c>
      <c r="D70" s="5" t="inlineStr">
        <is>
          <t>abrir</t>
        </is>
      </c>
      <c r="E70" s="3" t="n"/>
      <c r="F70" s="3" t="n"/>
      <c r="G70" s="6" t="n"/>
      <c r="H70" s="7">
        <f>"Oi, pessoal da "&amp;B70&amp;"! Tudo bem? 🍔"&amp;CHAR(10)&amp;"Aqui é o "&amp;'Como usar'!$C$4&amp;". Ajudo hamburgueria a vender mais pelo próprio WhatsApp, sem taxa de app."&amp;CHAR(10)&amp;CHAR(10)&amp;IF(F70="","Fiz uma conta rápida: a cada 100 lanches de R$ 35 vendidos no iFood, uns R$ "&amp;ROUND(IF(G70="",35,G70)*100*0.152,-1)&amp;" ficam de taxa.","Fiz uma conta com o "&amp;F70&amp;" de vocês: a cada 100 vendidos no iFood, uns R$ "&amp;ROUND(IF(G70="",35,G70)*100*0.152,-1)&amp;"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"&amp;B70&amp;", de graça, pra vocês verem funcionando. Posso fazer?"</f>
        <v/>
      </c>
      <c r="I70" s="3" t="inlineStr">
        <is>
          <t>A contatar</t>
        </is>
      </c>
      <c r="J70" s="3" t="n"/>
    </row>
    <row r="71" ht="150" customHeight="1">
      <c r="A71" s="2" t="n">
        <v>70</v>
      </c>
      <c r="B71" s="3" t="inlineStr">
        <is>
          <t>Chef Burger 700</t>
        </is>
      </c>
      <c r="C71" s="4" t="inlineStr">
        <is>
          <t>Campo Grande/MS</t>
        </is>
      </c>
      <c r="D71" s="5" t="inlineStr">
        <is>
          <t>abrir</t>
        </is>
      </c>
      <c r="E71" s="3" t="n"/>
      <c r="F71" s="3" t="n"/>
      <c r="G71" s="6" t="n"/>
      <c r="H71" s="7">
        <f>"Oi, pessoal da "&amp;B71&amp;"! Tudo bem? 🍔"&amp;CHAR(10)&amp;"Aqui é o "&amp;'Como usar'!$C$4&amp;". Ajudo hamburgueria a vender mais pelo próprio WhatsApp, sem taxa de app."&amp;CHAR(10)&amp;CHAR(10)&amp;IF(F71="","Fiz uma conta rápida: a cada 100 lanches de R$ 35 vendidos no iFood, uns R$ "&amp;ROUND(IF(G71="",35,G71)*100*0.152,-1)&amp;" ficam de taxa.","Fiz uma conta com o "&amp;F71&amp;" de vocês: a cada 100 vendidos no iFood, uns R$ "&amp;ROUND(IF(G71="",35,G71)*100*0.152,-1)&amp;"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"&amp;B71&amp;", de graça, pra vocês verem funcionando. Posso fazer?"</f>
        <v/>
      </c>
      <c r="I71" s="3" t="inlineStr">
        <is>
          <t>A contatar</t>
        </is>
      </c>
      <c r="J71" s="3" t="n"/>
    </row>
    <row r="72" ht="150" customHeight="1">
      <c r="A72" s="2" t="n">
        <v>71</v>
      </c>
      <c r="B72" s="3" t="inlineStr">
        <is>
          <t>Make Burgers</t>
        </is>
      </c>
      <c r="C72" s="4" t="inlineStr">
        <is>
          <t>Campo Grande/MS</t>
        </is>
      </c>
      <c r="D72" s="5" t="inlineStr">
        <is>
          <t>abrir</t>
        </is>
      </c>
      <c r="E72" s="3" t="n"/>
      <c r="F72" s="3" t="n"/>
      <c r="G72" s="6" t="n"/>
      <c r="H72" s="7">
        <f>"Oi, pessoal da "&amp;B72&amp;"! Tudo bem? 🍔"&amp;CHAR(10)&amp;"Aqui é o "&amp;'Como usar'!$C$4&amp;". Ajudo hamburgueria a vender mais pelo próprio WhatsApp, sem taxa de app."&amp;CHAR(10)&amp;CHAR(10)&amp;IF(F72="","Fiz uma conta rápida: a cada 100 lanches de R$ 35 vendidos no iFood, uns R$ "&amp;ROUND(IF(G72="",35,G72)*100*0.152,-1)&amp;" ficam de taxa.","Fiz uma conta com o "&amp;F72&amp;" de vocês: a cada 100 vendidos no iFood, uns R$ "&amp;ROUND(IF(G72="",35,G72)*100*0.152,-1)&amp;"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"&amp;B72&amp;", de graça, pra vocês verem funcionando. Posso fazer?"</f>
        <v/>
      </c>
      <c r="I72" s="3" t="inlineStr">
        <is>
          <t>A contatar</t>
        </is>
      </c>
      <c r="J72" s="3" t="n"/>
    </row>
    <row r="73" ht="150" customHeight="1">
      <c r="A73" s="2" t="n">
        <v>72</v>
      </c>
      <c r="B73" s="3" t="inlineStr">
        <is>
          <t>Nabrasa Burger</t>
        </is>
      </c>
      <c r="C73" s="4" t="inlineStr">
        <is>
          <t>Campo Grande/MS</t>
        </is>
      </c>
      <c r="D73" s="5" t="inlineStr">
        <is>
          <t>abrir</t>
        </is>
      </c>
      <c r="E73" s="3" t="n"/>
      <c r="F73" s="3" t="n"/>
      <c r="G73" s="6" t="n"/>
      <c r="H73" s="7">
        <f>"Oi, pessoal da "&amp;B73&amp;"! Tudo bem? 🍔"&amp;CHAR(10)&amp;"Aqui é o "&amp;'Como usar'!$C$4&amp;". Ajudo hamburgueria a vender mais pelo próprio WhatsApp, sem taxa de app."&amp;CHAR(10)&amp;CHAR(10)&amp;IF(F73="","Fiz uma conta rápida: a cada 100 lanches de R$ 35 vendidos no iFood, uns R$ "&amp;ROUND(IF(G73="",35,G73)*100*0.152,-1)&amp;" ficam de taxa.","Fiz uma conta com o "&amp;F73&amp;" de vocês: a cada 100 vendidos no iFood, uns R$ "&amp;ROUND(IF(G73="",35,G73)*100*0.152,-1)&amp;"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"&amp;B73&amp;", de graça, pra vocês verem funcionando. Posso fazer?"</f>
        <v/>
      </c>
      <c r="I73" s="3" t="inlineStr">
        <is>
          <t>A contatar</t>
        </is>
      </c>
      <c r="J73" s="3" t="n"/>
    </row>
    <row r="74" ht="150" customHeight="1">
      <c r="A74" s="2" t="n">
        <v>73</v>
      </c>
      <c r="B74" s="3" t="inlineStr">
        <is>
          <t>065 Hamburgueria</t>
        </is>
      </c>
      <c r="C74" s="4" t="inlineStr">
        <is>
          <t>Cuiabá/MT</t>
        </is>
      </c>
      <c r="D74" s="5" t="inlineStr">
        <is>
          <t>abrir</t>
        </is>
      </c>
      <c r="E74" s="3" t="n"/>
      <c r="F74" s="3" t="n"/>
      <c r="G74" s="6" t="n"/>
      <c r="H74" s="7">
        <f>"Oi, pessoal da "&amp;B74&amp;"! Tudo bem? 🍔"&amp;CHAR(10)&amp;"Aqui é o "&amp;'Como usar'!$C$4&amp;". Ajudo hamburgueria a vender mais pelo próprio WhatsApp, sem taxa de app."&amp;CHAR(10)&amp;CHAR(10)&amp;IF(F74="","Fiz uma conta rápida: a cada 100 lanches de R$ 35 vendidos no iFood, uns R$ "&amp;ROUND(IF(G74="",35,G74)*100*0.152,-1)&amp;" ficam de taxa.","Fiz uma conta com o "&amp;F74&amp;" de vocês: a cada 100 vendidos no iFood, uns R$ "&amp;ROUND(IF(G74="",35,G74)*100*0.152,-1)&amp;"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"&amp;B74&amp;", de graça, pra vocês verem funcionando. Posso fazer?"</f>
        <v/>
      </c>
      <c r="I74" s="3" t="inlineStr">
        <is>
          <t>A contatar</t>
        </is>
      </c>
      <c r="J74" s="3" t="n"/>
    </row>
    <row r="75" ht="150" customHeight="1">
      <c r="A75" s="2" t="n">
        <v>74</v>
      </c>
      <c r="B75" s="3" t="inlineStr">
        <is>
          <t>Blazze Burger</t>
        </is>
      </c>
      <c r="C75" s="4" t="inlineStr">
        <is>
          <t>Cuiabá/MT</t>
        </is>
      </c>
      <c r="D75" s="5" t="inlineStr">
        <is>
          <t>abrir</t>
        </is>
      </c>
      <c r="E75" s="3" t="n"/>
      <c r="F75" s="3" t="n"/>
      <c r="G75" s="6" t="n"/>
      <c r="H75" s="7">
        <f>"Oi, pessoal da "&amp;B75&amp;"! Tudo bem? 🍔"&amp;CHAR(10)&amp;"Aqui é o "&amp;'Como usar'!$C$4&amp;". Ajudo hamburgueria a vender mais pelo próprio WhatsApp, sem taxa de app."&amp;CHAR(10)&amp;CHAR(10)&amp;IF(F75="","Fiz uma conta rápida: a cada 100 lanches de R$ 35 vendidos no iFood, uns R$ "&amp;ROUND(IF(G75="",35,G75)*100*0.152,-1)&amp;" ficam de taxa.","Fiz uma conta com o "&amp;F75&amp;" de vocês: a cada 100 vendidos no iFood, uns R$ "&amp;ROUND(IF(G75="",35,G75)*100*0.152,-1)&amp;"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"&amp;B75&amp;", de graça, pra vocês verem funcionando. Posso fazer?"</f>
        <v/>
      </c>
      <c r="I75" s="3" t="inlineStr">
        <is>
          <t>A contatar</t>
        </is>
      </c>
      <c r="J75" s="3" t="n"/>
    </row>
    <row r="76" ht="150" customHeight="1">
      <c r="A76" s="2" t="n">
        <v>75</v>
      </c>
      <c r="B76" s="3" t="inlineStr">
        <is>
          <t>Blend Hamburgueria Artesanal</t>
        </is>
      </c>
      <c r="C76" s="4" t="inlineStr">
        <is>
          <t>Cuiabá/MT</t>
        </is>
      </c>
      <c r="D76" s="5" t="inlineStr">
        <is>
          <t>abrir</t>
        </is>
      </c>
      <c r="E76" s="3" t="n"/>
      <c r="F76" s="3" t="n"/>
      <c r="G76" s="6" t="n"/>
      <c r="H76" s="7">
        <f>"Oi, pessoal da "&amp;B76&amp;"! Tudo bem? 🍔"&amp;CHAR(10)&amp;"Aqui é o "&amp;'Como usar'!$C$4&amp;". Ajudo hamburgueria a vender mais pelo próprio WhatsApp, sem taxa de app."&amp;CHAR(10)&amp;CHAR(10)&amp;IF(F76="","Fiz uma conta rápida: a cada 100 lanches de R$ 35 vendidos no iFood, uns R$ "&amp;ROUND(IF(G76="",35,G76)*100*0.152,-1)&amp;" ficam de taxa.","Fiz uma conta com o "&amp;F76&amp;" de vocês: a cada 100 vendidos no iFood, uns R$ "&amp;ROUND(IF(G76="",35,G76)*100*0.152,-1)&amp;"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"&amp;B76&amp;", de graça, pra vocês verem funcionando. Posso fazer?"</f>
        <v/>
      </c>
      <c r="I76" s="3" t="inlineStr">
        <is>
          <t>A contatar</t>
        </is>
      </c>
      <c r="J76" s="3" t="n"/>
    </row>
    <row r="77" ht="150" customHeight="1">
      <c r="A77" s="2" t="n">
        <v>76</v>
      </c>
      <c r="B77" s="3" t="inlineStr">
        <is>
          <t>Burguer na Praça</t>
        </is>
      </c>
      <c r="C77" s="4" t="inlineStr">
        <is>
          <t>Cuiabá/MT</t>
        </is>
      </c>
      <c r="D77" s="5" t="inlineStr">
        <is>
          <t>abrir</t>
        </is>
      </c>
      <c r="E77" s="3" t="n"/>
      <c r="F77" s="3" t="n"/>
      <c r="G77" s="6" t="n"/>
      <c r="H77" s="7">
        <f>"Oi, pessoal da "&amp;B77&amp;"! Tudo bem? 🍔"&amp;CHAR(10)&amp;"Aqui é o "&amp;'Como usar'!$C$4&amp;". Ajudo hamburgueria a vender mais pelo próprio WhatsApp, sem taxa de app."&amp;CHAR(10)&amp;CHAR(10)&amp;IF(F77="","Fiz uma conta rápida: a cada 100 lanches de R$ 35 vendidos no iFood, uns R$ "&amp;ROUND(IF(G77="",35,G77)*100*0.152,-1)&amp;" ficam de taxa.","Fiz uma conta com o "&amp;F77&amp;" de vocês: a cada 100 vendidos no iFood, uns R$ "&amp;ROUND(IF(G77="",35,G77)*100*0.152,-1)&amp;"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"&amp;B77&amp;", de graça, pra vocês verem funcionando. Posso fazer?"</f>
        <v/>
      </c>
      <c r="I77" s="3" t="inlineStr">
        <is>
          <t>A contatar</t>
        </is>
      </c>
      <c r="J77" s="3" t="n"/>
    </row>
    <row r="78" ht="150" customHeight="1">
      <c r="A78" s="2" t="n">
        <v>77</v>
      </c>
      <c r="B78" s="3" t="inlineStr">
        <is>
          <t>Cirinos Smash Burger</t>
        </is>
      </c>
      <c r="C78" s="4" t="inlineStr">
        <is>
          <t>Cuiabá/MT</t>
        </is>
      </c>
      <c r="D78" s="5" t="inlineStr">
        <is>
          <t>abrir</t>
        </is>
      </c>
      <c r="E78" s="3" t="n"/>
      <c r="F78" s="3" t="n"/>
      <c r="G78" s="6" t="n"/>
      <c r="H78" s="7">
        <f>"Oi, pessoal da "&amp;B78&amp;"! Tudo bem? 🍔"&amp;CHAR(10)&amp;"Aqui é o "&amp;'Como usar'!$C$4&amp;". Ajudo hamburgueria a vender mais pelo próprio WhatsApp, sem taxa de app."&amp;CHAR(10)&amp;CHAR(10)&amp;IF(F78="","Fiz uma conta rápida: a cada 100 lanches de R$ 35 vendidos no iFood, uns R$ "&amp;ROUND(IF(G78="",35,G78)*100*0.152,-1)&amp;" ficam de taxa.","Fiz uma conta com o "&amp;F78&amp;" de vocês: a cada 100 vendidos no iFood, uns R$ "&amp;ROUND(IF(G78="",35,G78)*100*0.152,-1)&amp;"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"&amp;B78&amp;", de graça, pra vocês verem funcionando. Posso fazer?"</f>
        <v/>
      </c>
      <c r="I78" s="3" t="inlineStr">
        <is>
          <t>A contatar</t>
        </is>
      </c>
      <c r="J78" s="3" t="n"/>
    </row>
    <row r="79" ht="150" customHeight="1">
      <c r="A79" s="2" t="n">
        <v>78</v>
      </c>
      <c r="B79" s="3" t="inlineStr">
        <is>
          <t>Hamburgueria Black Burguer Cuiabá</t>
        </is>
      </c>
      <c r="C79" s="4" t="inlineStr">
        <is>
          <t>Cuiabá/MT</t>
        </is>
      </c>
      <c r="D79" s="5" t="inlineStr">
        <is>
          <t>abrir</t>
        </is>
      </c>
      <c r="E79" s="3" t="n"/>
      <c r="F79" s="3" t="n"/>
      <c r="G79" s="6" t="n"/>
      <c r="H79" s="7">
        <f>"Oi, pessoal da "&amp;B79&amp;"! Tudo bem? 🍔"&amp;CHAR(10)&amp;"Aqui é o "&amp;'Como usar'!$C$4&amp;". Ajudo hamburgueria a vender mais pelo próprio WhatsApp, sem taxa de app."&amp;CHAR(10)&amp;CHAR(10)&amp;IF(F79="","Fiz uma conta rápida: a cada 100 lanches de R$ 35 vendidos no iFood, uns R$ "&amp;ROUND(IF(G79="",35,G79)*100*0.152,-1)&amp;" ficam de taxa.","Fiz uma conta com o "&amp;F79&amp;" de vocês: a cada 100 vendidos no iFood, uns R$ "&amp;ROUND(IF(G79="",35,G79)*100*0.152,-1)&amp;"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"&amp;B79&amp;", de graça, pra vocês verem funcionando. Posso fazer?"</f>
        <v/>
      </c>
      <c r="I79" s="3" t="inlineStr">
        <is>
          <t>A contatar</t>
        </is>
      </c>
      <c r="J79" s="3" t="n"/>
    </row>
    <row r="80" ht="150" customHeight="1">
      <c r="A80" s="2" t="n">
        <v>79</v>
      </c>
      <c r="B80" s="3" t="inlineStr">
        <is>
          <t>Master Burgers</t>
        </is>
      </c>
      <c r="C80" s="4" t="inlineStr">
        <is>
          <t>Cuiabá/MT</t>
        </is>
      </c>
      <c r="D80" s="5" t="inlineStr">
        <is>
          <t>abrir</t>
        </is>
      </c>
      <c r="E80" s="3" t="n"/>
      <c r="F80" s="3" t="n"/>
      <c r="G80" s="6" t="n"/>
      <c r="H80" s="7">
        <f>"Oi, pessoal da "&amp;B80&amp;"! Tudo bem? 🍔"&amp;CHAR(10)&amp;"Aqui é o "&amp;'Como usar'!$C$4&amp;". Ajudo hamburgueria a vender mais pelo próprio WhatsApp, sem taxa de app."&amp;CHAR(10)&amp;CHAR(10)&amp;IF(F80="","Fiz uma conta rápida: a cada 100 lanches de R$ 35 vendidos no iFood, uns R$ "&amp;ROUND(IF(G80="",35,G80)*100*0.152,-1)&amp;" ficam de taxa.","Fiz uma conta com o "&amp;F80&amp;" de vocês: a cada 100 vendidos no iFood, uns R$ "&amp;ROUND(IF(G80="",35,G80)*100*0.152,-1)&amp;"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"&amp;B80&amp;", de graça, pra vocês verem funcionando. Posso fazer?"</f>
        <v/>
      </c>
      <c r="I80" s="3" t="inlineStr">
        <is>
          <t>A contatar</t>
        </is>
      </c>
      <c r="J80" s="3" t="n"/>
    </row>
    <row r="81" ht="150" customHeight="1">
      <c r="A81" s="2" t="n">
        <v>80</v>
      </c>
      <c r="B81" s="3" t="inlineStr">
        <is>
          <t>Quality Hamburgueria</t>
        </is>
      </c>
      <c r="C81" s="4" t="inlineStr">
        <is>
          <t>Cuiabá/MT</t>
        </is>
      </c>
      <c r="D81" s="5" t="inlineStr">
        <is>
          <t>abrir</t>
        </is>
      </c>
      <c r="E81" s="3" t="n"/>
      <c r="F81" s="3" t="n"/>
      <c r="G81" s="6" t="n"/>
      <c r="H81" s="7">
        <f>"Oi, pessoal da "&amp;B81&amp;"! Tudo bem? 🍔"&amp;CHAR(10)&amp;"Aqui é o "&amp;'Como usar'!$C$4&amp;". Ajudo hamburgueria a vender mais pelo próprio WhatsApp, sem taxa de app."&amp;CHAR(10)&amp;CHAR(10)&amp;IF(F81="","Fiz uma conta rápida: a cada 100 lanches de R$ 35 vendidos no iFood, uns R$ "&amp;ROUND(IF(G81="",35,G81)*100*0.152,-1)&amp;" ficam de taxa.","Fiz uma conta com o "&amp;F81&amp;" de vocês: a cada 100 vendidos no iFood, uns R$ "&amp;ROUND(IF(G81="",35,G81)*100*0.152,-1)&amp;"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"&amp;B81&amp;", de graça, pra vocês verem funcionando. Posso fazer?"</f>
        <v/>
      </c>
      <c r="I81" s="3" t="inlineStr">
        <is>
          <t>A contatar</t>
        </is>
      </c>
      <c r="J81" s="3" t="n"/>
    </row>
    <row r="82" ht="150" customHeight="1">
      <c r="A82" s="2" t="n">
        <v>81</v>
      </c>
      <c r="B82" s="3" t="inlineStr">
        <is>
          <t>Papachibe Burger</t>
        </is>
      </c>
      <c r="C82" s="4" t="inlineStr">
        <is>
          <t>Belém/PA</t>
        </is>
      </c>
      <c r="D82" s="5" t="inlineStr">
        <is>
          <t>abrir</t>
        </is>
      </c>
      <c r="E82" s="3" t="n"/>
      <c r="F82" s="3" t="n"/>
      <c r="G82" s="6" t="n"/>
      <c r="H82" s="7">
        <f>"Oi, pessoal da "&amp;B82&amp;"! Tudo bem? 🍔"&amp;CHAR(10)&amp;"Aqui é o "&amp;'Como usar'!$C$4&amp;". Ajudo hamburgueria a vender mais pelo próprio WhatsApp, sem taxa de app."&amp;CHAR(10)&amp;CHAR(10)&amp;IF(F82="","Fiz uma conta rápida: a cada 100 lanches de R$ 35 vendidos no iFood, uns R$ "&amp;ROUND(IF(G82="",35,G82)*100*0.152,-1)&amp;" ficam de taxa.","Fiz uma conta com o "&amp;F82&amp;" de vocês: a cada 100 vendidos no iFood, uns R$ "&amp;ROUND(IF(G82="",35,G82)*100*0.152,-1)&amp;"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"&amp;B82&amp;", de graça, pra vocês verem funcionando. Posso fazer?"</f>
        <v/>
      </c>
      <c r="I82" s="3" t="inlineStr">
        <is>
          <t>A contatar</t>
        </is>
      </c>
      <c r="J82" s="3" t="n"/>
    </row>
    <row r="83" ht="150" customHeight="1">
      <c r="A83" s="2" t="n">
        <v>82</v>
      </c>
      <c r="B83" s="3" t="inlineStr">
        <is>
          <t>Rusty Burger</t>
        </is>
      </c>
      <c r="C83" s="4" t="inlineStr">
        <is>
          <t>Belém/PA</t>
        </is>
      </c>
      <c r="D83" s="5" t="inlineStr">
        <is>
          <t>abrir</t>
        </is>
      </c>
      <c r="E83" s="3" t="n"/>
      <c r="F83" s="3" t="n"/>
      <c r="G83" s="6" t="n"/>
      <c r="H83" s="7">
        <f>"Oi, pessoal da "&amp;B83&amp;"! Tudo bem? 🍔"&amp;CHAR(10)&amp;"Aqui é o "&amp;'Como usar'!$C$4&amp;". Ajudo hamburgueria a vender mais pelo próprio WhatsApp, sem taxa de app."&amp;CHAR(10)&amp;CHAR(10)&amp;IF(F83="","Fiz uma conta rápida: a cada 100 lanches de R$ 35 vendidos no iFood, uns R$ "&amp;ROUND(IF(G83="",35,G83)*100*0.152,-1)&amp;" ficam de taxa.","Fiz uma conta com o "&amp;F83&amp;" de vocês: a cada 100 vendidos no iFood, uns R$ "&amp;ROUND(IF(G83="",35,G83)*100*0.152,-1)&amp;"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"&amp;B83&amp;", de graça, pra vocês verem funcionando. Posso fazer?"</f>
        <v/>
      </c>
      <c r="I83" s="3" t="inlineStr">
        <is>
          <t>A contatar</t>
        </is>
      </c>
      <c r="J83" s="3" t="n"/>
    </row>
    <row r="84" ht="150" customHeight="1">
      <c r="A84" s="2" t="n">
        <v>83</v>
      </c>
      <c r="B84" s="3" t="inlineStr">
        <is>
          <t>Shake Burger Hamburgueria</t>
        </is>
      </c>
      <c r="C84" s="4" t="inlineStr">
        <is>
          <t>Belém/PA</t>
        </is>
      </c>
      <c r="D84" s="5" t="inlineStr">
        <is>
          <t>abrir</t>
        </is>
      </c>
      <c r="E84" s="3" t="n"/>
      <c r="F84" s="3" t="n"/>
      <c r="G84" s="6" t="n"/>
      <c r="H84" s="7">
        <f>"Oi, pessoal da "&amp;B84&amp;"! Tudo bem? 🍔"&amp;CHAR(10)&amp;"Aqui é o "&amp;'Como usar'!$C$4&amp;". Ajudo hamburgueria a vender mais pelo próprio WhatsApp, sem taxa de app."&amp;CHAR(10)&amp;CHAR(10)&amp;IF(F84="","Fiz uma conta rápida: a cada 100 lanches de R$ 35 vendidos no iFood, uns R$ "&amp;ROUND(IF(G84="",35,G84)*100*0.152,-1)&amp;" ficam de taxa.","Fiz uma conta com o "&amp;F84&amp;" de vocês: a cada 100 vendidos no iFood, uns R$ "&amp;ROUND(IF(G84="",35,G84)*100*0.152,-1)&amp;"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"&amp;B84&amp;", de graça, pra vocês verem funcionando. Posso fazer?"</f>
        <v/>
      </c>
      <c r="I84" s="3" t="inlineStr">
        <is>
          <t>A contatar</t>
        </is>
      </c>
      <c r="J84" s="3" t="n"/>
    </row>
    <row r="85" ht="150" customHeight="1">
      <c r="A85" s="2" t="n">
        <v>84</v>
      </c>
      <c r="B85" s="3" t="inlineStr">
        <is>
          <t>Smash Point Burger</t>
        </is>
      </c>
      <c r="C85" s="4" t="inlineStr">
        <is>
          <t>Belém/PA</t>
        </is>
      </c>
      <c r="D85" s="5" t="inlineStr">
        <is>
          <t>abrir</t>
        </is>
      </c>
      <c r="E85" s="3" t="n"/>
      <c r="F85" s="3" t="n"/>
      <c r="G85" s="6" t="n"/>
      <c r="H85" s="7">
        <f>"Oi, pessoal da "&amp;B85&amp;"! Tudo bem? 🍔"&amp;CHAR(10)&amp;"Aqui é o "&amp;'Como usar'!$C$4&amp;". Ajudo hamburgueria a vender mais pelo próprio WhatsApp, sem taxa de app."&amp;CHAR(10)&amp;CHAR(10)&amp;IF(F85="","Fiz uma conta rápida: a cada 100 lanches de R$ 35 vendidos no iFood, uns R$ "&amp;ROUND(IF(G85="",35,G85)*100*0.152,-1)&amp;" ficam de taxa.","Fiz uma conta com o "&amp;F85&amp;" de vocês: a cada 100 vendidos no iFood, uns R$ "&amp;ROUND(IF(G85="",35,G85)*100*0.152,-1)&amp;"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"&amp;B85&amp;", de graça, pra vocês verem funcionando. Posso fazer?"</f>
        <v/>
      </c>
      <c r="I85" s="3" t="inlineStr">
        <is>
          <t>A contatar</t>
        </is>
      </c>
      <c r="J85" s="3" t="n"/>
    </row>
    <row r="86" ht="150" customHeight="1">
      <c r="A86" s="2" t="n">
        <v>85</v>
      </c>
      <c r="B86" s="3" t="inlineStr">
        <is>
          <t>Burger in Pack</t>
        </is>
      </c>
      <c r="C86" s="4" t="inlineStr">
        <is>
          <t>João Pessoa/PB</t>
        </is>
      </c>
      <c r="D86" s="5" t="inlineStr">
        <is>
          <t>abrir</t>
        </is>
      </c>
      <c r="E86" s="3" t="n"/>
      <c r="F86" s="3" t="n"/>
      <c r="G86" s="6" t="n"/>
      <c r="H86" s="7">
        <f>"Oi, pessoal da "&amp;B86&amp;"! Tudo bem? 🍔"&amp;CHAR(10)&amp;"Aqui é o "&amp;'Como usar'!$C$4&amp;". Ajudo hamburgueria a vender mais pelo próprio WhatsApp, sem taxa de app."&amp;CHAR(10)&amp;CHAR(10)&amp;IF(F86="","Fiz uma conta rápida: a cada 100 lanches de R$ 35 vendidos no iFood, uns R$ "&amp;ROUND(IF(G86="",35,G86)*100*0.152,-1)&amp;" ficam de taxa.","Fiz uma conta com o "&amp;F86&amp;" de vocês: a cada 100 vendidos no iFood, uns R$ "&amp;ROUND(IF(G86="",35,G86)*100*0.152,-1)&amp;"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"&amp;B86&amp;", de graça, pra vocês verem funcionando. Posso fazer?"</f>
        <v/>
      </c>
      <c r="I86" s="3" t="inlineStr">
        <is>
          <t>A contatar</t>
        </is>
      </c>
      <c r="J86" s="3" t="n"/>
    </row>
    <row r="87" ht="150" customHeight="1">
      <c r="A87" s="2" t="n">
        <v>86</v>
      </c>
      <c r="B87" s="3" t="inlineStr">
        <is>
          <t>Cabrones Hamburgueria</t>
        </is>
      </c>
      <c r="C87" s="4" t="inlineStr">
        <is>
          <t>João Pessoa/PB</t>
        </is>
      </c>
      <c r="D87" s="5" t="inlineStr">
        <is>
          <t>abrir</t>
        </is>
      </c>
      <c r="E87" s="3" t="n"/>
      <c r="F87" s="3" t="n"/>
      <c r="G87" s="6" t="n"/>
      <c r="H87" s="7">
        <f>"Oi, pessoal da "&amp;B87&amp;"! Tudo bem? 🍔"&amp;CHAR(10)&amp;"Aqui é o "&amp;'Como usar'!$C$4&amp;". Ajudo hamburgueria a vender mais pelo próprio WhatsApp, sem taxa de app."&amp;CHAR(10)&amp;CHAR(10)&amp;IF(F87="","Fiz uma conta rápida: a cada 100 lanches de R$ 35 vendidos no iFood, uns R$ "&amp;ROUND(IF(G87="",35,G87)*100*0.152,-1)&amp;" ficam de taxa.","Fiz uma conta com o "&amp;F87&amp;" de vocês: a cada 100 vendidos no iFood, uns R$ "&amp;ROUND(IF(G87="",35,G87)*100*0.152,-1)&amp;"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"&amp;B87&amp;", de graça, pra vocês verem funcionando. Posso fazer?"</f>
        <v/>
      </c>
      <c r="I87" s="3" t="inlineStr">
        <is>
          <t>A contatar</t>
        </is>
      </c>
      <c r="J87" s="3" t="n"/>
    </row>
    <row r="88" ht="150" customHeight="1">
      <c r="A88" s="2" t="n">
        <v>87</v>
      </c>
      <c r="B88" s="3" t="inlineStr">
        <is>
          <t>Grill Burguer</t>
        </is>
      </c>
      <c r="C88" s="4" t="inlineStr">
        <is>
          <t>João Pessoa/PB</t>
        </is>
      </c>
      <c r="D88" s="5" t="inlineStr">
        <is>
          <t>abrir</t>
        </is>
      </c>
      <c r="E88" s="3" t="n"/>
      <c r="F88" s="3" t="n"/>
      <c r="G88" s="6" t="n"/>
      <c r="H88" s="7">
        <f>"Oi, pessoal da "&amp;B88&amp;"! Tudo bem? 🍔"&amp;CHAR(10)&amp;"Aqui é o "&amp;'Como usar'!$C$4&amp;". Ajudo hamburgueria a vender mais pelo próprio WhatsApp, sem taxa de app."&amp;CHAR(10)&amp;CHAR(10)&amp;IF(F88="","Fiz uma conta rápida: a cada 100 lanches de R$ 35 vendidos no iFood, uns R$ "&amp;ROUND(IF(G88="",35,G88)*100*0.152,-1)&amp;" ficam de taxa.","Fiz uma conta com o "&amp;F88&amp;" de vocês: a cada 100 vendidos no iFood, uns R$ "&amp;ROUND(IF(G88="",35,G88)*100*0.152,-1)&amp;"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"&amp;B88&amp;", de graça, pra vocês verem funcionando. Posso fazer?"</f>
        <v/>
      </c>
      <c r="I88" s="3" t="inlineStr">
        <is>
          <t>A contatar</t>
        </is>
      </c>
      <c r="J88" s="3" t="n"/>
    </row>
    <row r="89" ht="150" customHeight="1">
      <c r="A89" s="2" t="n">
        <v>88</v>
      </c>
      <c r="B89" s="3" t="inlineStr">
        <is>
          <t>Home Burger</t>
        </is>
      </c>
      <c r="C89" s="4" t="inlineStr">
        <is>
          <t>João Pessoa/PB</t>
        </is>
      </c>
      <c r="D89" s="5" t="inlineStr">
        <is>
          <t>abrir</t>
        </is>
      </c>
      <c r="E89" s="3" t="n"/>
      <c r="F89" s="3" t="n"/>
      <c r="G89" s="6" t="n"/>
      <c r="H89" s="7">
        <f>"Oi, pessoal da "&amp;B89&amp;"! Tudo bem? 🍔"&amp;CHAR(10)&amp;"Aqui é o "&amp;'Como usar'!$C$4&amp;". Ajudo hamburgueria a vender mais pelo próprio WhatsApp, sem taxa de app."&amp;CHAR(10)&amp;CHAR(10)&amp;IF(F89="","Fiz uma conta rápida: a cada 100 lanches de R$ 35 vendidos no iFood, uns R$ "&amp;ROUND(IF(G89="",35,G89)*100*0.152,-1)&amp;" ficam de taxa.","Fiz uma conta com o "&amp;F89&amp;" de vocês: a cada 100 vendidos no iFood, uns R$ "&amp;ROUND(IF(G89="",35,G89)*100*0.152,-1)&amp;"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"&amp;B89&amp;", de graça, pra vocês verem funcionando. Posso fazer?"</f>
        <v/>
      </c>
      <c r="I89" s="3" t="inlineStr">
        <is>
          <t>A contatar</t>
        </is>
      </c>
      <c r="J89" s="3" t="n"/>
    </row>
    <row r="90" ht="150" customHeight="1">
      <c r="A90" s="2" t="n">
        <v>89</v>
      </c>
      <c r="B90" s="3" t="inlineStr">
        <is>
          <t>Royale Burger</t>
        </is>
      </c>
      <c r="C90" s="4" t="inlineStr">
        <is>
          <t>João Pessoa/PB</t>
        </is>
      </c>
      <c r="D90" s="5" t="inlineStr">
        <is>
          <t>abrir</t>
        </is>
      </c>
      <c r="E90" s="3" t="n"/>
      <c r="F90" s="3" t="n"/>
      <c r="G90" s="6" t="n"/>
      <c r="H90" s="7">
        <f>"Oi, pessoal da "&amp;B90&amp;"! Tudo bem? 🍔"&amp;CHAR(10)&amp;"Aqui é o "&amp;'Como usar'!$C$4&amp;". Ajudo hamburgueria a vender mais pelo próprio WhatsApp, sem taxa de app."&amp;CHAR(10)&amp;CHAR(10)&amp;IF(F90="","Fiz uma conta rápida: a cada 100 lanches de R$ 35 vendidos no iFood, uns R$ "&amp;ROUND(IF(G90="",35,G90)*100*0.152,-1)&amp;" ficam de taxa.","Fiz uma conta com o "&amp;F90&amp;" de vocês: a cada 100 vendidos no iFood, uns R$ "&amp;ROUND(IF(G90="",35,G90)*100*0.152,-1)&amp;"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"&amp;B90&amp;", de graça, pra vocês verem funcionando. Posso fazer?"</f>
        <v/>
      </c>
      <c r="I90" s="3" t="inlineStr">
        <is>
          <t>A contatar</t>
        </is>
      </c>
      <c r="J90" s="3" t="n"/>
    </row>
    <row r="91" ht="150" customHeight="1">
      <c r="A91" s="2" t="n">
        <v>90</v>
      </c>
      <c r="B91" s="3" t="inlineStr">
        <is>
          <t>Smash Hambúrguer Artesanal</t>
        </is>
      </c>
      <c r="C91" s="4" t="inlineStr">
        <is>
          <t>João Pessoa/PB</t>
        </is>
      </c>
      <c r="D91" s="5" t="inlineStr">
        <is>
          <t>abrir</t>
        </is>
      </c>
      <c r="E91" s="3" t="n"/>
      <c r="F91" s="3" t="n"/>
      <c r="G91" s="6" t="n"/>
      <c r="H91" s="7">
        <f>"Oi, pessoal da "&amp;B91&amp;"! Tudo bem? 🍔"&amp;CHAR(10)&amp;"Aqui é o "&amp;'Como usar'!$C$4&amp;". Ajudo hamburgueria a vender mais pelo próprio WhatsApp, sem taxa de app."&amp;CHAR(10)&amp;CHAR(10)&amp;IF(F91="","Fiz uma conta rápida: a cada 100 lanches de R$ 35 vendidos no iFood, uns R$ "&amp;ROUND(IF(G91="",35,G91)*100*0.152,-1)&amp;" ficam de taxa.","Fiz uma conta com o "&amp;F91&amp;" de vocês: a cada 100 vendidos no iFood, uns R$ "&amp;ROUND(IF(G91="",35,G91)*100*0.152,-1)&amp;"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"&amp;B91&amp;", de graça, pra vocês verem funcionando. Posso fazer?"</f>
        <v/>
      </c>
      <c r="I91" s="3" t="inlineStr">
        <is>
          <t>A contatar</t>
        </is>
      </c>
      <c r="J91" s="3" t="n"/>
    </row>
    <row r="92" ht="150" customHeight="1">
      <c r="A92" s="2" t="n">
        <v>91</v>
      </c>
      <c r="B92" s="3" t="inlineStr">
        <is>
          <t>Squeeze Burger</t>
        </is>
      </c>
      <c r="C92" s="4" t="inlineStr">
        <is>
          <t>João Pessoa/PB</t>
        </is>
      </c>
      <c r="D92" s="5" t="inlineStr">
        <is>
          <t>abrir</t>
        </is>
      </c>
      <c r="E92" s="3" t="n"/>
      <c r="F92" s="3" t="n"/>
      <c r="G92" s="6" t="n"/>
      <c r="H92" s="7">
        <f>"Oi, pessoal da "&amp;B92&amp;"! Tudo bem? 🍔"&amp;CHAR(10)&amp;"Aqui é o "&amp;'Como usar'!$C$4&amp;". Ajudo hamburgueria a vender mais pelo próprio WhatsApp, sem taxa de app."&amp;CHAR(10)&amp;CHAR(10)&amp;IF(F92="","Fiz uma conta rápida: a cada 100 lanches de R$ 35 vendidos no iFood, uns R$ "&amp;ROUND(IF(G92="",35,G92)*100*0.152,-1)&amp;" ficam de taxa.","Fiz uma conta com o "&amp;F92&amp;" de vocês: a cada 100 vendidos no iFood, uns R$ "&amp;ROUND(IF(G92="",35,G92)*100*0.152,-1)&amp;"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"&amp;B92&amp;", de graça, pra vocês verem funcionando. Posso fazer?"</f>
        <v/>
      </c>
      <c r="I92" s="3" t="inlineStr">
        <is>
          <t>A contatar</t>
        </is>
      </c>
      <c r="J92" s="3" t="n"/>
    </row>
    <row r="93" ht="150" customHeight="1">
      <c r="A93" s="2" t="n">
        <v>92</v>
      </c>
      <c r="B93" s="3" t="inlineStr">
        <is>
          <t>The Lab Burger's</t>
        </is>
      </c>
      <c r="C93" s="4" t="inlineStr">
        <is>
          <t>João Pessoa/PB</t>
        </is>
      </c>
      <c r="D93" s="5" t="inlineStr">
        <is>
          <t>abrir</t>
        </is>
      </c>
      <c r="E93" s="3" t="n"/>
      <c r="F93" s="3" t="n"/>
      <c r="G93" s="6" t="n"/>
      <c r="H93" s="7">
        <f>"Oi, pessoal da "&amp;B93&amp;"! Tudo bem? 🍔"&amp;CHAR(10)&amp;"Aqui é o "&amp;'Como usar'!$C$4&amp;". Ajudo hamburgueria a vender mais pelo próprio WhatsApp, sem taxa de app."&amp;CHAR(10)&amp;CHAR(10)&amp;IF(F93="","Fiz uma conta rápida: a cada 100 lanches de R$ 35 vendidos no iFood, uns R$ "&amp;ROUND(IF(G93="",35,G93)*100*0.152,-1)&amp;" ficam de taxa.","Fiz uma conta com o "&amp;F93&amp;" de vocês: a cada 100 vendidos no iFood, uns R$ "&amp;ROUND(IF(G93="",35,G93)*100*0.152,-1)&amp;"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"&amp;B93&amp;", de graça, pra vocês verem funcionando. Posso fazer?"</f>
        <v/>
      </c>
      <c r="I93" s="3" t="inlineStr">
        <is>
          <t>A contatar</t>
        </is>
      </c>
      <c r="J93" s="3" t="n"/>
    </row>
    <row r="94" ht="150" customHeight="1">
      <c r="A94" s="2" t="n">
        <v>93</v>
      </c>
      <c r="B94" s="3" t="inlineStr">
        <is>
          <t>West Burger</t>
        </is>
      </c>
      <c r="C94" s="4" t="inlineStr">
        <is>
          <t>João Pessoa/PB</t>
        </is>
      </c>
      <c r="D94" s="5" t="inlineStr">
        <is>
          <t>abrir</t>
        </is>
      </c>
      <c r="E94" s="3" t="n"/>
      <c r="F94" s="3" t="n"/>
      <c r="G94" s="6" t="n"/>
      <c r="H94" s="7">
        <f>"Oi, pessoal da "&amp;B94&amp;"! Tudo bem? 🍔"&amp;CHAR(10)&amp;"Aqui é o "&amp;'Como usar'!$C$4&amp;". Ajudo hamburgueria a vender mais pelo próprio WhatsApp, sem taxa de app."&amp;CHAR(10)&amp;CHAR(10)&amp;IF(F94="","Fiz uma conta rápida: a cada 100 lanches de R$ 35 vendidos no iFood, uns R$ "&amp;ROUND(IF(G94="",35,G94)*100*0.152,-1)&amp;" ficam de taxa.","Fiz uma conta com o "&amp;F94&amp;" de vocês: a cada 100 vendidos no iFood, uns R$ "&amp;ROUND(IF(G94="",35,G94)*100*0.152,-1)&amp;"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"&amp;B94&amp;", de graça, pra vocês verem funcionando. Posso fazer?"</f>
        <v/>
      </c>
      <c r="I94" s="3" t="inlineStr">
        <is>
          <t>A contatar</t>
        </is>
      </c>
      <c r="J94" s="3" t="n"/>
    </row>
    <row r="95" ht="150" customHeight="1">
      <c r="A95" s="2" t="n">
        <v>94</v>
      </c>
      <c r="B95" s="3" t="inlineStr">
        <is>
          <t>404 Hamburgueria Olinda</t>
        </is>
      </c>
      <c r="C95" s="4" t="inlineStr">
        <is>
          <t>Olinda/PE</t>
        </is>
      </c>
      <c r="D95" s="5" t="inlineStr">
        <is>
          <t>abrir</t>
        </is>
      </c>
      <c r="E95" s="3" t="n"/>
      <c r="F95" s="3" t="n"/>
      <c r="G95" s="6" t="n"/>
      <c r="H95" s="7">
        <f>"Oi, pessoal da "&amp;B95&amp;"! Tudo bem? 🍔"&amp;CHAR(10)&amp;"Aqui é o "&amp;'Como usar'!$C$4&amp;". Ajudo hamburgueria a vender mais pelo próprio WhatsApp, sem taxa de app."&amp;CHAR(10)&amp;CHAR(10)&amp;IF(F95="","Fiz uma conta rápida: a cada 100 lanches de R$ 35 vendidos no iFood, uns R$ "&amp;ROUND(IF(G95="",35,G95)*100*0.152,-1)&amp;" ficam de taxa.","Fiz uma conta com o "&amp;F95&amp;" de vocês: a cada 100 vendidos no iFood, uns R$ "&amp;ROUND(IF(G95="",35,G95)*100*0.152,-1)&amp;"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"&amp;B95&amp;", de graça, pra vocês verem funcionando. Posso fazer?"</f>
        <v/>
      </c>
      <c r="I95" s="3" t="inlineStr">
        <is>
          <t>A contatar</t>
        </is>
      </c>
      <c r="J95" s="3" t="n"/>
    </row>
    <row r="96" ht="150" customHeight="1">
      <c r="A96" s="2" t="n">
        <v>95</v>
      </c>
      <c r="B96" s="3" t="inlineStr">
        <is>
          <t>Bora Burger</t>
        </is>
      </c>
      <c r="C96" s="4" t="inlineStr">
        <is>
          <t>Recife/PE</t>
        </is>
      </c>
      <c r="D96" s="5" t="inlineStr">
        <is>
          <t>abrir</t>
        </is>
      </c>
      <c r="E96" s="3" t="n"/>
      <c r="F96" s="3" t="n"/>
      <c r="G96" s="6" t="n"/>
      <c r="H96" s="7">
        <f>"Oi, pessoal da "&amp;B96&amp;"! Tudo bem? 🍔"&amp;CHAR(10)&amp;"Aqui é o "&amp;'Como usar'!$C$4&amp;". Ajudo hamburgueria a vender mais pelo próprio WhatsApp, sem taxa de app."&amp;CHAR(10)&amp;CHAR(10)&amp;IF(F96="","Fiz uma conta rápida: a cada 100 lanches de R$ 35 vendidos no iFood, uns R$ "&amp;ROUND(IF(G96="",35,G96)*100*0.152,-1)&amp;" ficam de taxa.","Fiz uma conta com o "&amp;F96&amp;" de vocês: a cada 100 vendidos no iFood, uns R$ "&amp;ROUND(IF(G96="",35,G96)*100*0.152,-1)&amp;"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"&amp;B96&amp;", de graça, pra vocês verem funcionando. Posso fazer?"</f>
        <v/>
      </c>
      <c r="I96" s="3" t="inlineStr">
        <is>
          <t>A contatar</t>
        </is>
      </c>
      <c r="J96" s="3" t="n"/>
    </row>
    <row r="97" ht="150" customHeight="1">
      <c r="A97" s="2" t="n">
        <v>96</v>
      </c>
      <c r="B97" s="3" t="inlineStr">
        <is>
          <t>Burguer Mania</t>
        </is>
      </c>
      <c r="C97" s="4" t="inlineStr">
        <is>
          <t>Recife/PE</t>
        </is>
      </c>
      <c r="D97" s="5" t="inlineStr">
        <is>
          <t>abrir</t>
        </is>
      </c>
      <c r="E97" s="3" t="n"/>
      <c r="F97" s="3" t="n"/>
      <c r="G97" s="6" t="n"/>
      <c r="H97" s="7">
        <f>"Oi, pessoal da "&amp;B97&amp;"! Tudo bem? 🍔"&amp;CHAR(10)&amp;"Aqui é o "&amp;'Como usar'!$C$4&amp;". Ajudo hamburgueria a vender mais pelo próprio WhatsApp, sem taxa de app."&amp;CHAR(10)&amp;CHAR(10)&amp;IF(F97="","Fiz uma conta rápida: a cada 100 lanches de R$ 35 vendidos no iFood, uns R$ "&amp;ROUND(IF(G97="",35,G97)*100*0.152,-1)&amp;" ficam de taxa.","Fiz uma conta com o "&amp;F97&amp;" de vocês: a cada 100 vendidos no iFood, uns R$ "&amp;ROUND(IF(G97="",35,G97)*100*0.152,-1)&amp;"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"&amp;B97&amp;", de graça, pra vocês verem funcionando. Posso fazer?"</f>
        <v/>
      </c>
      <c r="I97" s="3" t="inlineStr">
        <is>
          <t>A contatar</t>
        </is>
      </c>
      <c r="J97" s="3" t="n"/>
    </row>
    <row r="98" ht="150" customHeight="1">
      <c r="A98" s="2" t="n">
        <v>97</v>
      </c>
      <c r="B98" s="3" t="inlineStr">
        <is>
          <t>Hamburgueria Conceito Burger</t>
        </is>
      </c>
      <c r="C98" s="4" t="inlineStr">
        <is>
          <t>Recife/PE</t>
        </is>
      </c>
      <c r="D98" s="5" t="inlineStr">
        <is>
          <t>abrir</t>
        </is>
      </c>
      <c r="E98" s="3" t="n"/>
      <c r="F98" s="3" t="n"/>
      <c r="G98" s="6" t="n"/>
      <c r="H98" s="7">
        <f>"Oi, pessoal da "&amp;B98&amp;"! Tudo bem? 🍔"&amp;CHAR(10)&amp;"Aqui é o "&amp;'Como usar'!$C$4&amp;". Ajudo hamburgueria a vender mais pelo próprio WhatsApp, sem taxa de app."&amp;CHAR(10)&amp;CHAR(10)&amp;IF(F98="","Fiz uma conta rápida: a cada 100 lanches de R$ 35 vendidos no iFood, uns R$ "&amp;ROUND(IF(G98="",35,G98)*100*0.152,-1)&amp;" ficam de taxa.","Fiz uma conta com o "&amp;F98&amp;" de vocês: a cada 100 vendidos no iFood, uns R$ "&amp;ROUND(IF(G98="",35,G98)*100*0.152,-1)&amp;"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"&amp;B98&amp;", de graça, pra vocês verem funcionando. Posso fazer?"</f>
        <v/>
      </c>
      <c r="I98" s="3" t="inlineStr">
        <is>
          <t>A contatar</t>
        </is>
      </c>
      <c r="J98" s="3" t="n"/>
    </row>
    <row r="99" ht="150" customHeight="1">
      <c r="A99" s="2" t="n">
        <v>98</v>
      </c>
      <c r="B99" s="3" t="inlineStr">
        <is>
          <t>Hamburgueria Maria Bonita</t>
        </is>
      </c>
      <c r="C99" s="4" t="inlineStr">
        <is>
          <t>Recife/PE</t>
        </is>
      </c>
      <c r="D99" s="5" t="inlineStr">
        <is>
          <t>abrir</t>
        </is>
      </c>
      <c r="E99" s="3" t="n"/>
      <c r="F99" s="3" t="n"/>
      <c r="G99" s="6" t="n"/>
      <c r="H99" s="7">
        <f>"Oi, pessoal da "&amp;B99&amp;"! Tudo bem? 🍔"&amp;CHAR(10)&amp;"Aqui é o "&amp;'Como usar'!$C$4&amp;". Ajudo hamburgueria a vender mais pelo próprio WhatsApp, sem taxa de app."&amp;CHAR(10)&amp;CHAR(10)&amp;IF(F99="","Fiz uma conta rápida: a cada 100 lanches de R$ 35 vendidos no iFood, uns R$ "&amp;ROUND(IF(G99="",35,G99)*100*0.152,-1)&amp;" ficam de taxa.","Fiz uma conta com o "&amp;F99&amp;" de vocês: a cada 100 vendidos no iFood, uns R$ "&amp;ROUND(IF(G99="",35,G99)*100*0.152,-1)&amp;"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"&amp;B99&amp;", de graça, pra vocês verem funcionando. Posso fazer?"</f>
        <v/>
      </c>
      <c r="I99" s="3" t="inlineStr">
        <is>
          <t>A contatar</t>
        </is>
      </c>
      <c r="J99" s="3" t="n"/>
    </row>
    <row r="100" ht="150" customHeight="1">
      <c r="A100" s="2" t="n">
        <v>99</v>
      </c>
      <c r="B100" s="3" t="inlineStr">
        <is>
          <t>Hype Burger</t>
        </is>
      </c>
      <c r="C100" s="4" t="inlineStr">
        <is>
          <t>Recife/PE</t>
        </is>
      </c>
      <c r="D100" s="5" t="inlineStr">
        <is>
          <t>abrir</t>
        </is>
      </c>
      <c r="E100" s="3" t="n"/>
      <c r="F100" s="3" t="n"/>
      <c r="G100" s="6" t="n"/>
      <c r="H100" s="7">
        <f>"Oi, pessoal da "&amp;B100&amp;"! Tudo bem? 🍔"&amp;CHAR(10)&amp;"Aqui é o "&amp;'Como usar'!$C$4&amp;". Ajudo hamburgueria a vender mais pelo próprio WhatsApp, sem taxa de app."&amp;CHAR(10)&amp;CHAR(10)&amp;IF(F100="","Fiz uma conta rápida: a cada 100 lanches de R$ 35 vendidos no iFood, uns R$ "&amp;ROUND(IF(G100="",35,G100)*100*0.152,-1)&amp;" ficam de taxa.","Fiz uma conta com o "&amp;F100&amp;" de vocês: a cada 100 vendidos no iFood, uns R$ "&amp;ROUND(IF(G100="",35,G100)*100*0.152,-1)&amp;"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"&amp;B100&amp;", de graça, pra vocês verem funcionando. Posso fazer?"</f>
        <v/>
      </c>
      <c r="I100" s="3" t="inlineStr">
        <is>
          <t>A contatar</t>
        </is>
      </c>
      <c r="J100" s="3" t="n"/>
    </row>
    <row r="101" ht="150" customHeight="1">
      <c r="A101" s="2" t="n">
        <v>100</v>
      </c>
      <c r="B101" s="3" t="inlineStr">
        <is>
          <t>Mister Ed Smash Burguer</t>
        </is>
      </c>
      <c r="C101" s="4" t="inlineStr">
        <is>
          <t>Recife/PE</t>
        </is>
      </c>
      <c r="D101" s="5" t="inlineStr">
        <is>
          <t>abrir</t>
        </is>
      </c>
      <c r="E101" s="3" t="n"/>
      <c r="F101" s="3" t="n"/>
      <c r="G101" s="6" t="n"/>
      <c r="H101" s="7">
        <f>"Oi, pessoal da "&amp;B101&amp;"! Tudo bem? 🍔"&amp;CHAR(10)&amp;"Aqui é o "&amp;'Como usar'!$C$4&amp;". Ajudo hamburgueria a vender mais pelo próprio WhatsApp, sem taxa de app."&amp;CHAR(10)&amp;CHAR(10)&amp;IF(F101="","Fiz uma conta rápida: a cada 100 lanches de R$ 35 vendidos no iFood, uns R$ "&amp;ROUND(IF(G101="",35,G101)*100*0.152,-1)&amp;" ficam de taxa.","Fiz uma conta com o "&amp;F101&amp;" de vocês: a cada 100 vendidos no iFood, uns R$ "&amp;ROUND(IF(G101="",35,G101)*100*0.152,-1)&amp;"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"&amp;B101&amp;", de graça, pra vocês verem funcionando. Posso fazer?"</f>
        <v/>
      </c>
      <c r="I101" s="3" t="inlineStr">
        <is>
          <t>A contatar</t>
        </is>
      </c>
      <c r="J101" s="3" t="n"/>
    </row>
    <row r="102" ht="150" customHeight="1">
      <c r="A102" s="2" t="n">
        <v>101</v>
      </c>
      <c r="B102" s="3" t="inlineStr">
        <is>
          <t>Mooo Hamburgueria Gourmet e Saladaria</t>
        </is>
      </c>
      <c r="C102" s="4" t="inlineStr">
        <is>
          <t>Recife/PE</t>
        </is>
      </c>
      <c r="D102" s="5" t="inlineStr">
        <is>
          <t>abrir</t>
        </is>
      </c>
      <c r="E102" s="3" t="n"/>
      <c r="F102" s="3" t="n"/>
      <c r="G102" s="6" t="n"/>
      <c r="H102" s="7">
        <f>"Oi, pessoal da "&amp;B102&amp;"! Tudo bem? 🍔"&amp;CHAR(10)&amp;"Aqui é o "&amp;'Como usar'!$C$4&amp;". Ajudo hamburgueria a vender mais pelo próprio WhatsApp, sem taxa de app."&amp;CHAR(10)&amp;CHAR(10)&amp;IF(F102="","Fiz uma conta rápida: a cada 100 lanches de R$ 35 vendidos no iFood, uns R$ "&amp;ROUND(IF(G102="",35,G102)*100*0.152,-1)&amp;" ficam de taxa.","Fiz uma conta com o "&amp;F102&amp;" de vocês: a cada 100 vendidos no iFood, uns R$ "&amp;ROUND(IF(G102="",35,G102)*100*0.152,-1)&amp;"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"&amp;B102&amp;", de graça, pra vocês verem funcionando. Posso fazer?"</f>
        <v/>
      </c>
      <c r="I102" s="3" t="inlineStr">
        <is>
          <t>A contatar</t>
        </is>
      </c>
      <c r="J102" s="3" t="n"/>
    </row>
    <row r="103" ht="150" customHeight="1">
      <c r="A103" s="2" t="n">
        <v>102</v>
      </c>
      <c r="B103" s="3" t="inlineStr">
        <is>
          <t>Pahoa Burguer</t>
        </is>
      </c>
      <c r="C103" s="4" t="inlineStr">
        <is>
          <t>Recife/PE</t>
        </is>
      </c>
      <c r="D103" s="5" t="inlineStr">
        <is>
          <t>abrir</t>
        </is>
      </c>
      <c r="E103" s="3" t="n"/>
      <c r="F103" s="3" t="n"/>
      <c r="G103" s="6" t="n"/>
      <c r="H103" s="7">
        <f>"Oi, pessoal da "&amp;B103&amp;"! Tudo bem? 🍔"&amp;CHAR(10)&amp;"Aqui é o "&amp;'Como usar'!$C$4&amp;". Ajudo hamburgueria a vender mais pelo próprio WhatsApp, sem taxa de app."&amp;CHAR(10)&amp;CHAR(10)&amp;IF(F103="","Fiz uma conta rápida: a cada 100 lanches de R$ 35 vendidos no iFood, uns R$ "&amp;ROUND(IF(G103="",35,G103)*100*0.152,-1)&amp;" ficam de taxa.","Fiz uma conta com o "&amp;F103&amp;" de vocês: a cada 100 vendidos no iFood, uns R$ "&amp;ROUND(IF(G103="",35,G103)*100*0.152,-1)&amp;"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"&amp;B103&amp;", de graça, pra vocês verem funcionando. Posso fazer?"</f>
        <v/>
      </c>
      <c r="I103" s="3" t="inlineStr">
        <is>
          <t>A contatar</t>
        </is>
      </c>
      <c r="J103" s="3" t="n"/>
    </row>
    <row r="104" ht="150" customHeight="1">
      <c r="A104" s="2" t="n">
        <v>103</v>
      </c>
      <c r="B104" s="3" t="inlineStr">
        <is>
          <t>45 Burger</t>
        </is>
      </c>
      <c r="C104" s="4" t="inlineStr">
        <is>
          <t>Teresina/PI</t>
        </is>
      </c>
      <c r="D104" s="5" t="inlineStr">
        <is>
          <t>abrir</t>
        </is>
      </c>
      <c r="E104" s="3" t="n"/>
      <c r="F104" s="3" t="n"/>
      <c r="G104" s="6" t="n"/>
      <c r="H104" s="7">
        <f>"Oi, pessoal da "&amp;B104&amp;"! Tudo bem? 🍔"&amp;CHAR(10)&amp;"Aqui é o "&amp;'Como usar'!$C$4&amp;". Ajudo hamburgueria a vender mais pelo próprio WhatsApp, sem taxa de app."&amp;CHAR(10)&amp;CHAR(10)&amp;IF(F104="","Fiz uma conta rápida: a cada 100 lanches de R$ 35 vendidos no iFood, uns R$ "&amp;ROUND(IF(G104="",35,G104)*100*0.152,-1)&amp;" ficam de taxa.","Fiz uma conta com o "&amp;F104&amp;" de vocês: a cada 100 vendidos no iFood, uns R$ "&amp;ROUND(IF(G104="",35,G104)*100*0.152,-1)&amp;"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"&amp;B104&amp;", de graça, pra vocês verem funcionando. Posso fazer?"</f>
        <v/>
      </c>
      <c r="I104" s="3" t="inlineStr">
        <is>
          <t>A contatar</t>
        </is>
      </c>
      <c r="J104" s="3" t="n"/>
    </row>
    <row r="105" ht="150" customHeight="1">
      <c r="A105" s="2" t="n">
        <v>104</v>
      </c>
      <c r="B105" s="3" t="inlineStr">
        <is>
          <t>Alecrim Hamburgueria</t>
        </is>
      </c>
      <c r="C105" s="4" t="inlineStr">
        <is>
          <t>Teresina/PI</t>
        </is>
      </c>
      <c r="D105" s="5" t="inlineStr">
        <is>
          <t>abrir</t>
        </is>
      </c>
      <c r="E105" s="3" t="n"/>
      <c r="F105" s="3" t="n"/>
      <c r="G105" s="6" t="n"/>
      <c r="H105" s="7">
        <f>"Oi, pessoal da "&amp;B105&amp;"! Tudo bem? 🍔"&amp;CHAR(10)&amp;"Aqui é o "&amp;'Como usar'!$C$4&amp;". Ajudo hamburgueria a vender mais pelo próprio WhatsApp, sem taxa de app."&amp;CHAR(10)&amp;CHAR(10)&amp;IF(F105="","Fiz uma conta rápida: a cada 100 lanches de R$ 35 vendidos no iFood, uns R$ "&amp;ROUND(IF(G105="",35,G105)*100*0.152,-1)&amp;" ficam de taxa.","Fiz uma conta com o "&amp;F105&amp;" de vocês: a cada 100 vendidos no iFood, uns R$ "&amp;ROUND(IF(G105="",35,G105)*100*0.152,-1)&amp;"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"&amp;B105&amp;", de graça, pra vocês verem funcionando. Posso fazer?"</f>
        <v/>
      </c>
      <c r="I105" s="3" t="inlineStr">
        <is>
          <t>A contatar</t>
        </is>
      </c>
      <c r="J105" s="3" t="n"/>
    </row>
    <row r="106" ht="150" customHeight="1">
      <c r="A106" s="2" t="n">
        <v>105</v>
      </c>
      <c r="B106" s="3" t="inlineStr">
        <is>
          <t>Dom Gourmet Hamburgueria e Pastelaria</t>
        </is>
      </c>
      <c r="C106" s="4" t="inlineStr">
        <is>
          <t>Teresina/PI</t>
        </is>
      </c>
      <c r="D106" s="5" t="inlineStr">
        <is>
          <t>abrir</t>
        </is>
      </c>
      <c r="E106" s="3" t="n"/>
      <c r="F106" s="3" t="n"/>
      <c r="G106" s="6" t="n"/>
      <c r="H106" s="7">
        <f>"Oi, pessoal da "&amp;B106&amp;"! Tudo bem? 🍔"&amp;CHAR(10)&amp;"Aqui é o "&amp;'Como usar'!$C$4&amp;". Ajudo hamburgueria a vender mais pelo próprio WhatsApp, sem taxa de app."&amp;CHAR(10)&amp;CHAR(10)&amp;IF(F106="","Fiz uma conta rápida: a cada 100 lanches de R$ 35 vendidos no iFood, uns R$ "&amp;ROUND(IF(G106="",35,G106)*100*0.152,-1)&amp;" ficam de taxa.","Fiz uma conta com o "&amp;F106&amp;" de vocês: a cada 100 vendidos no iFood, uns R$ "&amp;ROUND(IF(G106="",35,G106)*100*0.152,-1)&amp;"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"&amp;B106&amp;", de graça, pra vocês verem funcionando. Posso fazer?"</f>
        <v/>
      </c>
      <c r="I106" s="3" t="inlineStr">
        <is>
          <t>A contatar</t>
        </is>
      </c>
      <c r="J106" s="3" t="n"/>
    </row>
    <row r="107" ht="150" customHeight="1">
      <c r="A107" s="2" t="n">
        <v>106</v>
      </c>
      <c r="B107" s="3" t="inlineStr">
        <is>
          <t>Bun Burgers</t>
        </is>
      </c>
      <c r="C107" s="4" t="inlineStr">
        <is>
          <t>Curitiba/PR</t>
        </is>
      </c>
      <c r="D107" s="5" t="inlineStr">
        <is>
          <t>abrir</t>
        </is>
      </c>
      <c r="E107" s="3" t="n"/>
      <c r="F107" s="3" t="n"/>
      <c r="G107" s="6" t="n"/>
      <c r="H107" s="7">
        <f>"Oi, pessoal da "&amp;B107&amp;"! Tudo bem? 🍔"&amp;CHAR(10)&amp;"Aqui é o "&amp;'Como usar'!$C$4&amp;". Ajudo hamburgueria a vender mais pelo próprio WhatsApp, sem taxa de app."&amp;CHAR(10)&amp;CHAR(10)&amp;IF(F107="","Fiz uma conta rápida: a cada 100 lanches de R$ 35 vendidos no iFood, uns R$ "&amp;ROUND(IF(G107="",35,G107)*100*0.152,-1)&amp;" ficam de taxa.","Fiz uma conta com o "&amp;F107&amp;" de vocês: a cada 100 vendidos no iFood, uns R$ "&amp;ROUND(IF(G107="",35,G107)*100*0.152,-1)&amp;"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"&amp;B107&amp;", de graça, pra vocês verem funcionando. Posso fazer?"</f>
        <v/>
      </c>
      <c r="I107" s="3" t="inlineStr">
        <is>
          <t>A contatar</t>
        </is>
      </c>
      <c r="J107" s="3" t="n"/>
    </row>
    <row r="108" ht="150" customHeight="1">
      <c r="A108" s="2" t="n">
        <v>107</v>
      </c>
      <c r="B108" s="3" t="inlineStr">
        <is>
          <t>Comendador Burguer</t>
        </is>
      </c>
      <c r="C108" s="4" t="inlineStr">
        <is>
          <t>Curitiba/PR</t>
        </is>
      </c>
      <c r="D108" s="5" t="inlineStr">
        <is>
          <t>abrir</t>
        </is>
      </c>
      <c r="E108" s="3" t="n"/>
      <c r="F108" s="3" t="n"/>
      <c r="G108" s="6" t="n"/>
      <c r="H108" s="7">
        <f>"Oi, pessoal da "&amp;B108&amp;"! Tudo bem? 🍔"&amp;CHAR(10)&amp;"Aqui é o "&amp;'Como usar'!$C$4&amp;". Ajudo hamburgueria a vender mais pelo próprio WhatsApp, sem taxa de app."&amp;CHAR(10)&amp;CHAR(10)&amp;IF(F108="","Fiz uma conta rápida: a cada 100 lanches de R$ 35 vendidos no iFood, uns R$ "&amp;ROUND(IF(G108="",35,G108)*100*0.152,-1)&amp;" ficam de taxa.","Fiz uma conta com o "&amp;F108&amp;" de vocês: a cada 100 vendidos no iFood, uns R$ "&amp;ROUND(IF(G108="",35,G108)*100*0.152,-1)&amp;"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"&amp;B108&amp;", de graça, pra vocês verem funcionando. Posso fazer?"</f>
        <v/>
      </c>
      <c r="I108" s="3" t="inlineStr">
        <is>
          <t>A contatar</t>
        </is>
      </c>
      <c r="J108" s="3" t="n"/>
    </row>
    <row r="109" ht="150" customHeight="1">
      <c r="A109" s="2" t="n">
        <v>108</v>
      </c>
      <c r="B109" s="3" t="inlineStr">
        <is>
          <t>Cwb Burguer</t>
        </is>
      </c>
      <c r="C109" s="4" t="inlineStr">
        <is>
          <t>Curitiba/PR</t>
        </is>
      </c>
      <c r="D109" s="5" t="inlineStr">
        <is>
          <t>abrir</t>
        </is>
      </c>
      <c r="E109" s="3" t="n"/>
      <c r="F109" s="3" t="n"/>
      <c r="G109" s="6" t="n"/>
      <c r="H109" s="7">
        <f>"Oi, pessoal da "&amp;B109&amp;"! Tudo bem? 🍔"&amp;CHAR(10)&amp;"Aqui é o "&amp;'Como usar'!$C$4&amp;". Ajudo hamburgueria a vender mais pelo próprio WhatsApp, sem taxa de app."&amp;CHAR(10)&amp;CHAR(10)&amp;IF(F109="","Fiz uma conta rápida: a cada 100 lanches de R$ 35 vendidos no iFood, uns R$ "&amp;ROUND(IF(G109="",35,G109)*100*0.152,-1)&amp;" ficam de taxa.","Fiz uma conta com o "&amp;F109&amp;" de vocês: a cada 100 vendidos no iFood, uns R$ "&amp;ROUND(IF(G109="",35,G109)*100*0.152,-1)&amp;"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"&amp;B109&amp;", de graça, pra vocês verem funcionando. Posso fazer?"</f>
        <v/>
      </c>
      <c r="I109" s="3" t="inlineStr">
        <is>
          <t>A contatar</t>
        </is>
      </c>
      <c r="J109" s="3" t="n"/>
    </row>
    <row r="110" ht="150" customHeight="1">
      <c r="A110" s="2" t="n">
        <v>109</v>
      </c>
      <c r="B110" s="3" t="inlineStr">
        <is>
          <t>Dois Palito Smash Burger</t>
        </is>
      </c>
      <c r="C110" s="4" t="inlineStr">
        <is>
          <t>Curitiba/PR</t>
        </is>
      </c>
      <c r="D110" s="5" t="inlineStr">
        <is>
          <t>abrir</t>
        </is>
      </c>
      <c r="E110" s="3" t="n"/>
      <c r="F110" s="3" t="n"/>
      <c r="G110" s="6" t="n"/>
      <c r="H110" s="7">
        <f>"Oi, pessoal da "&amp;B110&amp;"! Tudo bem? 🍔"&amp;CHAR(10)&amp;"Aqui é o "&amp;'Como usar'!$C$4&amp;". Ajudo hamburgueria a vender mais pelo próprio WhatsApp, sem taxa de app."&amp;CHAR(10)&amp;CHAR(10)&amp;IF(F110="","Fiz uma conta rápida: a cada 100 lanches de R$ 35 vendidos no iFood, uns R$ "&amp;ROUND(IF(G110="",35,G110)*100*0.152,-1)&amp;" ficam de taxa.","Fiz uma conta com o "&amp;F110&amp;" de vocês: a cada 100 vendidos no iFood, uns R$ "&amp;ROUND(IF(G110="",35,G110)*100*0.152,-1)&amp;"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"&amp;B110&amp;", de graça, pra vocês verem funcionando. Posso fazer?"</f>
        <v/>
      </c>
      <c r="I110" s="3" t="inlineStr">
        <is>
          <t>A contatar</t>
        </is>
      </c>
      <c r="J110" s="3" t="n"/>
    </row>
    <row r="111" ht="150" customHeight="1">
      <c r="A111" s="2" t="n">
        <v>110</v>
      </c>
      <c r="B111" s="3" t="inlineStr">
        <is>
          <t>Hamburgueria Crazy Burger</t>
        </is>
      </c>
      <c r="C111" s="4" t="inlineStr">
        <is>
          <t>Curitiba/PR</t>
        </is>
      </c>
      <c r="D111" s="5" t="inlineStr">
        <is>
          <t>abrir</t>
        </is>
      </c>
      <c r="E111" s="3" t="n"/>
      <c r="F111" s="3" t="n"/>
      <c r="G111" s="6" t="n"/>
      <c r="H111" s="7">
        <f>"Oi, pessoal da "&amp;B111&amp;"! Tudo bem? 🍔"&amp;CHAR(10)&amp;"Aqui é o "&amp;'Como usar'!$C$4&amp;". Ajudo hamburgueria a vender mais pelo próprio WhatsApp, sem taxa de app."&amp;CHAR(10)&amp;CHAR(10)&amp;IF(F111="","Fiz uma conta rápida: a cada 100 lanches de R$ 35 vendidos no iFood, uns R$ "&amp;ROUND(IF(G111="",35,G111)*100*0.152,-1)&amp;" ficam de taxa.","Fiz uma conta com o "&amp;F111&amp;" de vocês: a cada 100 vendidos no iFood, uns R$ "&amp;ROUND(IF(G111="",35,G111)*100*0.152,-1)&amp;"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"&amp;B111&amp;", de graça, pra vocês verem funcionando. Posso fazer?"</f>
        <v/>
      </c>
      <c r="I111" s="3" t="inlineStr">
        <is>
          <t>A contatar</t>
        </is>
      </c>
      <c r="J111" s="3" t="n"/>
    </row>
    <row r="112" ht="150" customHeight="1">
      <c r="A112" s="2" t="n">
        <v>111</v>
      </c>
      <c r="B112" s="3" t="inlineStr">
        <is>
          <t>Lets Smash Burger no Precinho</t>
        </is>
      </c>
      <c r="C112" s="4" t="inlineStr">
        <is>
          <t>Curitiba/PR</t>
        </is>
      </c>
      <c r="D112" s="5" t="inlineStr">
        <is>
          <t>abrir</t>
        </is>
      </c>
      <c r="E112" s="3" t="n"/>
      <c r="F112" s="3" t="n"/>
      <c r="G112" s="6" t="n"/>
      <c r="H112" s="7">
        <f>"Oi, pessoal da "&amp;B112&amp;"! Tudo bem? 🍔"&amp;CHAR(10)&amp;"Aqui é o "&amp;'Como usar'!$C$4&amp;". Ajudo hamburgueria a vender mais pelo próprio WhatsApp, sem taxa de app."&amp;CHAR(10)&amp;CHAR(10)&amp;IF(F112="","Fiz uma conta rápida: a cada 100 lanches de R$ 35 vendidos no iFood, uns R$ "&amp;ROUND(IF(G112="",35,G112)*100*0.152,-1)&amp;" ficam de taxa.","Fiz uma conta com o "&amp;F112&amp;" de vocês: a cada 100 vendidos no iFood, uns R$ "&amp;ROUND(IF(G112="",35,G112)*100*0.152,-1)&amp;"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"&amp;B112&amp;", de graça, pra vocês verem funcionando. Posso fazer?"</f>
        <v/>
      </c>
      <c r="I112" s="3" t="inlineStr">
        <is>
          <t>A contatar</t>
        </is>
      </c>
      <c r="J112" s="3" t="n"/>
    </row>
    <row r="113" ht="150" customHeight="1">
      <c r="A113" s="2" t="n">
        <v>112</v>
      </c>
      <c r="B113" s="3" t="inlineStr">
        <is>
          <t>Maria Fumaça Burger Smash e Defumado</t>
        </is>
      </c>
      <c r="C113" s="4" t="inlineStr">
        <is>
          <t>Curitiba/PR</t>
        </is>
      </c>
      <c r="D113" s="5" t="inlineStr">
        <is>
          <t>abrir</t>
        </is>
      </c>
      <c r="E113" s="3" t="n"/>
      <c r="F113" s="3" t="n"/>
      <c r="G113" s="6" t="n"/>
      <c r="H113" s="7">
        <f>"Oi, pessoal da "&amp;B113&amp;"! Tudo bem? 🍔"&amp;CHAR(10)&amp;"Aqui é o "&amp;'Como usar'!$C$4&amp;". Ajudo hamburgueria a vender mais pelo próprio WhatsApp, sem taxa de app."&amp;CHAR(10)&amp;CHAR(10)&amp;IF(F113="","Fiz uma conta rápida: a cada 100 lanches de R$ 35 vendidos no iFood, uns R$ "&amp;ROUND(IF(G113="",35,G113)*100*0.152,-1)&amp;" ficam de taxa.","Fiz uma conta com o "&amp;F113&amp;" de vocês: a cada 100 vendidos no iFood, uns R$ "&amp;ROUND(IF(G113="",35,G113)*100*0.152,-1)&amp;"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"&amp;B113&amp;", de graça, pra vocês verem funcionando. Posso fazer?"</f>
        <v/>
      </c>
      <c r="I113" s="3" t="inlineStr">
        <is>
          <t>A contatar</t>
        </is>
      </c>
      <c r="J113" s="3" t="n"/>
    </row>
    <row r="114" ht="150" customHeight="1">
      <c r="A114" s="2" t="n">
        <v>113</v>
      </c>
      <c r="B114" s="3" t="inlineStr">
        <is>
          <t>Pilgrim Burgers</t>
        </is>
      </c>
      <c r="C114" s="4" t="inlineStr">
        <is>
          <t>Curitiba/PR</t>
        </is>
      </c>
      <c r="D114" s="5" t="inlineStr">
        <is>
          <t>abrir</t>
        </is>
      </c>
      <c r="E114" s="3" t="n"/>
      <c r="F114" s="3" t="n"/>
      <c r="G114" s="6" t="n"/>
      <c r="H114" s="7">
        <f>"Oi, pessoal da "&amp;B114&amp;"! Tudo bem? 🍔"&amp;CHAR(10)&amp;"Aqui é o "&amp;'Como usar'!$C$4&amp;". Ajudo hamburgueria a vender mais pelo próprio WhatsApp, sem taxa de app."&amp;CHAR(10)&amp;CHAR(10)&amp;IF(F114="","Fiz uma conta rápida: a cada 100 lanches de R$ 35 vendidos no iFood, uns R$ "&amp;ROUND(IF(G114="",35,G114)*100*0.152,-1)&amp;" ficam de taxa.","Fiz uma conta com o "&amp;F114&amp;" de vocês: a cada 100 vendidos no iFood, uns R$ "&amp;ROUND(IF(G114="",35,G114)*100*0.152,-1)&amp;"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"&amp;B114&amp;", de graça, pra vocês verem funcionando. Posso fazer?"</f>
        <v/>
      </c>
      <c r="I114" s="3" t="inlineStr">
        <is>
          <t>A contatar</t>
        </is>
      </c>
      <c r="J114" s="3" t="n"/>
    </row>
    <row r="115" ht="150" customHeight="1">
      <c r="A115" s="2" t="n">
        <v>114</v>
      </c>
      <c r="B115" s="3" t="inlineStr">
        <is>
          <t>Supremo Burger Cwb</t>
        </is>
      </c>
      <c r="C115" s="4" t="inlineStr">
        <is>
          <t>Curitiba/PR</t>
        </is>
      </c>
      <c r="D115" s="5" t="inlineStr">
        <is>
          <t>abrir</t>
        </is>
      </c>
      <c r="E115" s="3" t="n"/>
      <c r="F115" s="3" t="n"/>
      <c r="G115" s="6" t="n"/>
      <c r="H115" s="7">
        <f>"Oi, pessoal da "&amp;B115&amp;"! Tudo bem? 🍔"&amp;CHAR(10)&amp;"Aqui é o "&amp;'Como usar'!$C$4&amp;". Ajudo hamburgueria a vender mais pelo próprio WhatsApp, sem taxa de app."&amp;CHAR(10)&amp;CHAR(10)&amp;IF(F115="","Fiz uma conta rápida: a cada 100 lanches de R$ 35 vendidos no iFood, uns R$ "&amp;ROUND(IF(G115="",35,G115)*100*0.152,-1)&amp;" ficam de taxa.","Fiz uma conta com o "&amp;F115&amp;" de vocês: a cada 100 vendidos no iFood, uns R$ "&amp;ROUND(IF(G115="",35,G115)*100*0.152,-1)&amp;"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"&amp;B115&amp;", de graça, pra vocês verem funcionando. Posso fazer?"</f>
        <v/>
      </c>
      <c r="I115" s="3" t="inlineStr">
        <is>
          <t>A contatar</t>
        </is>
      </c>
      <c r="J115" s="3" t="n"/>
    </row>
    <row r="116" ht="150" customHeight="1">
      <c r="A116" s="2" t="n">
        <v>115</v>
      </c>
      <c r="B116" s="3" t="inlineStr">
        <is>
          <t>77 Hamburgueria</t>
        </is>
      </c>
      <c r="C116" s="4" t="inlineStr">
        <is>
          <t>Londrina/PR</t>
        </is>
      </c>
      <c r="D116" s="5" t="inlineStr">
        <is>
          <t>abrir</t>
        </is>
      </c>
      <c r="E116" s="3" t="n"/>
      <c r="F116" s="3" t="n"/>
      <c r="G116" s="6" t="n"/>
      <c r="H116" s="7">
        <f>"Oi, pessoal da "&amp;B116&amp;"! Tudo bem? 🍔"&amp;CHAR(10)&amp;"Aqui é o "&amp;'Como usar'!$C$4&amp;". Ajudo hamburgueria a vender mais pelo próprio WhatsApp, sem taxa de app."&amp;CHAR(10)&amp;CHAR(10)&amp;IF(F116="","Fiz uma conta rápida: a cada 100 lanches de R$ 35 vendidos no iFood, uns R$ "&amp;ROUND(IF(G116="",35,G116)*100*0.152,-1)&amp;" ficam de taxa.","Fiz uma conta com o "&amp;F116&amp;" de vocês: a cada 100 vendidos no iFood, uns R$ "&amp;ROUND(IF(G116="",35,G116)*100*0.152,-1)&amp;"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"&amp;B116&amp;", de graça, pra vocês verem funcionando. Posso fazer?"</f>
        <v/>
      </c>
      <c r="I116" s="3" t="inlineStr">
        <is>
          <t>A contatar</t>
        </is>
      </c>
      <c r="J116" s="3" t="n"/>
    </row>
    <row r="117" ht="150" customHeight="1">
      <c r="A117" s="2" t="n">
        <v>116</v>
      </c>
      <c r="B117" s="3" t="inlineStr">
        <is>
          <t>General Hamburgueria</t>
        </is>
      </c>
      <c r="C117" s="4" t="inlineStr">
        <is>
          <t>Londrina/PR</t>
        </is>
      </c>
      <c r="D117" s="5" t="inlineStr">
        <is>
          <t>abrir</t>
        </is>
      </c>
      <c r="E117" s="3" t="n"/>
      <c r="F117" s="3" t="n"/>
      <c r="G117" s="6" t="n"/>
      <c r="H117" s="7">
        <f>"Oi, pessoal da "&amp;B117&amp;"! Tudo bem? 🍔"&amp;CHAR(10)&amp;"Aqui é o "&amp;'Como usar'!$C$4&amp;". Ajudo hamburgueria a vender mais pelo próprio WhatsApp, sem taxa de app."&amp;CHAR(10)&amp;CHAR(10)&amp;IF(F117="","Fiz uma conta rápida: a cada 100 lanches de R$ 35 vendidos no iFood, uns R$ "&amp;ROUND(IF(G117="",35,G117)*100*0.152,-1)&amp;" ficam de taxa.","Fiz uma conta com o "&amp;F117&amp;" de vocês: a cada 100 vendidos no iFood, uns R$ "&amp;ROUND(IF(G117="",35,G117)*100*0.152,-1)&amp;"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"&amp;B117&amp;", de graça, pra vocês verem funcionando. Posso fazer?"</f>
        <v/>
      </c>
      <c r="I117" s="3" t="inlineStr">
        <is>
          <t>A contatar</t>
        </is>
      </c>
      <c r="J117" s="3" t="n"/>
    </row>
    <row r="118" ht="150" customHeight="1">
      <c r="A118" s="2" t="n">
        <v>117</v>
      </c>
      <c r="B118" s="3" t="inlineStr">
        <is>
          <t>Hamburgueria Elite Burger</t>
        </is>
      </c>
      <c r="C118" s="4" t="inlineStr">
        <is>
          <t>Londrina/PR</t>
        </is>
      </c>
      <c r="D118" s="5" t="inlineStr">
        <is>
          <t>abrir</t>
        </is>
      </c>
      <c r="E118" s="3" t="n"/>
      <c r="F118" s="3" t="n"/>
      <c r="G118" s="6" t="n"/>
      <c r="H118" s="7">
        <f>"Oi, pessoal da "&amp;B118&amp;"! Tudo bem? 🍔"&amp;CHAR(10)&amp;"Aqui é o "&amp;'Como usar'!$C$4&amp;". Ajudo hamburgueria a vender mais pelo próprio WhatsApp, sem taxa de app."&amp;CHAR(10)&amp;CHAR(10)&amp;IF(F118="","Fiz uma conta rápida: a cada 100 lanches de R$ 35 vendidos no iFood, uns R$ "&amp;ROUND(IF(G118="",35,G118)*100*0.152,-1)&amp;" ficam de taxa.","Fiz uma conta com o "&amp;F118&amp;" de vocês: a cada 100 vendidos no iFood, uns R$ "&amp;ROUND(IF(G118="",35,G118)*100*0.152,-1)&amp;"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"&amp;B118&amp;", de graça, pra vocês verem funcionando. Posso fazer?"</f>
        <v/>
      </c>
      <c r="I118" s="3" t="inlineStr">
        <is>
          <t>A contatar</t>
        </is>
      </c>
      <c r="J118" s="3" t="n"/>
    </row>
    <row r="119" ht="150" customHeight="1">
      <c r="A119" s="2" t="n">
        <v>118</v>
      </c>
      <c r="B119" s="3" t="inlineStr">
        <is>
          <t>O Burguês</t>
        </is>
      </c>
      <c r="C119" s="4" t="inlineStr">
        <is>
          <t>Londrina/PR</t>
        </is>
      </c>
      <c r="D119" s="5" t="inlineStr">
        <is>
          <t>abrir</t>
        </is>
      </c>
      <c r="E119" s="3" t="n"/>
      <c r="F119" s="3" t="n"/>
      <c r="G119" s="6" t="n"/>
      <c r="H119" s="7">
        <f>"Oi, pessoal da "&amp;B119&amp;"! Tudo bem? 🍔"&amp;CHAR(10)&amp;"Aqui é o "&amp;'Como usar'!$C$4&amp;". Ajudo hamburgueria a vender mais pelo próprio WhatsApp, sem taxa de app."&amp;CHAR(10)&amp;CHAR(10)&amp;IF(F119="","Fiz uma conta rápida: a cada 100 lanches de R$ 35 vendidos no iFood, uns R$ "&amp;ROUND(IF(G119="",35,G119)*100*0.152,-1)&amp;" ficam de taxa.","Fiz uma conta com o "&amp;F119&amp;" de vocês: a cada 100 vendidos no iFood, uns R$ "&amp;ROUND(IF(G119="",35,G119)*100*0.152,-1)&amp;"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"&amp;B119&amp;", de graça, pra vocês verem funcionando. Posso fazer?"</f>
        <v/>
      </c>
      <c r="I119" s="3" t="inlineStr">
        <is>
          <t>A contatar</t>
        </is>
      </c>
      <c r="J119" s="3" t="n"/>
    </row>
    <row r="120" ht="150" customHeight="1">
      <c r="A120" s="2" t="n">
        <v>119</v>
      </c>
      <c r="B120" s="3" t="inlineStr">
        <is>
          <t>Santo Burger</t>
        </is>
      </c>
      <c r="C120" s="4" t="inlineStr">
        <is>
          <t>Londrina/PR</t>
        </is>
      </c>
      <c r="D120" s="5" t="inlineStr">
        <is>
          <t>abrir</t>
        </is>
      </c>
      <c r="E120" s="3" t="n"/>
      <c r="F120" s="3" t="n"/>
      <c r="G120" s="6" t="n"/>
      <c r="H120" s="7">
        <f>"Oi, pessoal da "&amp;B120&amp;"! Tudo bem? 🍔"&amp;CHAR(10)&amp;"Aqui é o "&amp;'Como usar'!$C$4&amp;". Ajudo hamburgueria a vender mais pelo próprio WhatsApp, sem taxa de app."&amp;CHAR(10)&amp;CHAR(10)&amp;IF(F120="","Fiz uma conta rápida: a cada 100 lanches de R$ 35 vendidos no iFood, uns R$ "&amp;ROUND(IF(G120="",35,G120)*100*0.152,-1)&amp;" ficam de taxa.","Fiz uma conta com o "&amp;F120&amp;" de vocês: a cada 100 vendidos no iFood, uns R$ "&amp;ROUND(IF(G120="",35,G120)*100*0.152,-1)&amp;"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"&amp;B120&amp;", de graça, pra vocês verem funcionando. Posso fazer?"</f>
        <v/>
      </c>
      <c r="I120" s="3" t="inlineStr">
        <is>
          <t>A contatar</t>
        </is>
      </c>
      <c r="J120" s="3" t="n"/>
    </row>
    <row r="121" ht="150" customHeight="1">
      <c r="A121" s="2" t="n">
        <v>120</v>
      </c>
      <c r="B121" s="3" t="inlineStr">
        <is>
          <t>The Burgers</t>
        </is>
      </c>
      <c r="C121" s="4" t="inlineStr">
        <is>
          <t>Londrina/PR</t>
        </is>
      </c>
      <c r="D121" s="5" t="inlineStr">
        <is>
          <t>abrir</t>
        </is>
      </c>
      <c r="E121" s="3" t="n"/>
      <c r="F121" s="3" t="n"/>
      <c r="G121" s="6" t="n"/>
      <c r="H121" s="7">
        <f>"Oi, pessoal da "&amp;B121&amp;"! Tudo bem? 🍔"&amp;CHAR(10)&amp;"Aqui é o "&amp;'Como usar'!$C$4&amp;". Ajudo hamburgueria a vender mais pelo próprio WhatsApp, sem taxa de app."&amp;CHAR(10)&amp;CHAR(10)&amp;IF(F121="","Fiz uma conta rápida: a cada 100 lanches de R$ 35 vendidos no iFood, uns R$ "&amp;ROUND(IF(G121="",35,G121)*100*0.152,-1)&amp;" ficam de taxa.","Fiz uma conta com o "&amp;F121&amp;" de vocês: a cada 100 vendidos no iFood, uns R$ "&amp;ROUND(IF(G121="",35,G121)*100*0.152,-1)&amp;"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"&amp;B121&amp;", de graça, pra vocês verem funcionando. Posso fazer?"</f>
        <v/>
      </c>
      <c r="I121" s="3" t="inlineStr">
        <is>
          <t>A contatar</t>
        </is>
      </c>
      <c r="J121" s="3" t="n"/>
    </row>
    <row r="122" ht="150" customHeight="1">
      <c r="A122" s="2" t="n">
        <v>121</v>
      </c>
      <c r="B122" s="3" t="inlineStr">
        <is>
          <t>Top Burger</t>
        </is>
      </c>
      <c r="C122" s="4" t="inlineStr">
        <is>
          <t>Londrina/PR</t>
        </is>
      </c>
      <c r="D122" s="5" t="inlineStr">
        <is>
          <t>abrir</t>
        </is>
      </c>
      <c r="E122" s="3" t="n"/>
      <c r="F122" s="3" t="n"/>
      <c r="G122" s="6" t="n"/>
      <c r="H122" s="7">
        <f>"Oi, pessoal da "&amp;B122&amp;"! Tudo bem? 🍔"&amp;CHAR(10)&amp;"Aqui é o "&amp;'Como usar'!$C$4&amp;". Ajudo hamburgueria a vender mais pelo próprio WhatsApp, sem taxa de app."&amp;CHAR(10)&amp;CHAR(10)&amp;IF(F122="","Fiz uma conta rápida: a cada 100 lanches de R$ 35 vendidos no iFood, uns R$ "&amp;ROUND(IF(G122="",35,G122)*100*0.152,-1)&amp;" ficam de taxa.","Fiz uma conta com o "&amp;F122&amp;" de vocês: a cada 100 vendidos no iFood, uns R$ "&amp;ROUND(IF(G122="",35,G122)*100*0.152,-1)&amp;"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"&amp;B122&amp;", de graça, pra vocês verem funcionando. Posso fazer?"</f>
        <v/>
      </c>
      <c r="I122" s="3" t="inlineStr">
        <is>
          <t>A contatar</t>
        </is>
      </c>
      <c r="J122" s="3" t="n"/>
    </row>
    <row r="123" ht="150" customHeight="1">
      <c r="A123" s="2" t="n">
        <v>122</v>
      </c>
      <c r="B123" s="3" t="inlineStr">
        <is>
          <t>Xinela Burger</t>
        </is>
      </c>
      <c r="C123" s="4" t="inlineStr">
        <is>
          <t>Londrina/PR</t>
        </is>
      </c>
      <c r="D123" s="5" t="inlineStr">
        <is>
          <t>abrir</t>
        </is>
      </c>
      <c r="E123" s="3" t="n"/>
      <c r="F123" s="3" t="n"/>
      <c r="G123" s="6" t="n"/>
      <c r="H123" s="7">
        <f>"Oi, pessoal da "&amp;B123&amp;"! Tudo bem? 🍔"&amp;CHAR(10)&amp;"Aqui é o "&amp;'Como usar'!$C$4&amp;". Ajudo hamburgueria a vender mais pelo próprio WhatsApp, sem taxa de app."&amp;CHAR(10)&amp;CHAR(10)&amp;IF(F123="","Fiz uma conta rápida: a cada 100 lanches de R$ 35 vendidos no iFood, uns R$ "&amp;ROUND(IF(G123="",35,G123)*100*0.152,-1)&amp;" ficam de taxa.","Fiz uma conta com o "&amp;F123&amp;" de vocês: a cada 100 vendidos no iFood, uns R$ "&amp;ROUND(IF(G123="",35,G123)*100*0.152,-1)&amp;"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"&amp;B123&amp;", de graça, pra vocês verem funcionando. Posso fazer?"</f>
        <v/>
      </c>
      <c r="I123" s="3" t="inlineStr">
        <is>
          <t>A contatar</t>
        </is>
      </c>
      <c r="J123" s="3" t="n"/>
    </row>
    <row r="124" ht="150" customHeight="1">
      <c r="A124" s="2" t="n">
        <v>123</v>
      </c>
      <c r="B124" s="3" t="inlineStr">
        <is>
          <t>Artesanos Hamburgueria Artesanal</t>
        </is>
      </c>
      <c r="C124" s="4" t="inlineStr">
        <is>
          <t>Rio de Janeiro/RJ</t>
        </is>
      </c>
      <c r="D124" s="5" t="inlineStr">
        <is>
          <t>abrir</t>
        </is>
      </c>
      <c r="E124" s="3" t="n"/>
      <c r="F124" s="3" t="n"/>
      <c r="G124" s="6" t="n"/>
      <c r="H124" s="7">
        <f>"Oi, pessoal da "&amp;B124&amp;"! Tudo bem? 🍔"&amp;CHAR(10)&amp;"Aqui é o "&amp;'Como usar'!$C$4&amp;". Ajudo hamburgueria a vender mais pelo próprio WhatsApp, sem taxa de app."&amp;CHAR(10)&amp;CHAR(10)&amp;IF(F124="","Fiz uma conta rápida: a cada 100 lanches de R$ 35 vendidos no iFood, uns R$ "&amp;ROUND(IF(G124="",35,G124)*100*0.152,-1)&amp;" ficam de taxa.","Fiz uma conta com o "&amp;F124&amp;" de vocês: a cada 100 vendidos no iFood, uns R$ "&amp;ROUND(IF(G124="",35,G124)*100*0.152,-1)&amp;"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"&amp;B124&amp;", de graça, pra vocês verem funcionando. Posso fazer?"</f>
        <v/>
      </c>
      <c r="I124" s="3" t="inlineStr">
        <is>
          <t>A contatar</t>
        </is>
      </c>
      <c r="J124" s="3" t="n"/>
    </row>
    <row r="125" ht="150" customHeight="1">
      <c r="A125" s="2" t="n">
        <v>124</v>
      </c>
      <c r="B125" s="3" t="inlineStr">
        <is>
          <t>Bap's Burguer</t>
        </is>
      </c>
      <c r="C125" s="4" t="inlineStr">
        <is>
          <t>Rio de Janeiro/RJ</t>
        </is>
      </c>
      <c r="D125" s="5" t="inlineStr">
        <is>
          <t>abrir</t>
        </is>
      </c>
      <c r="E125" s="3" t="n"/>
      <c r="F125" s="3" t="n"/>
      <c r="G125" s="6" t="n"/>
      <c r="H125" s="7">
        <f>"Oi, pessoal da "&amp;B125&amp;"! Tudo bem? 🍔"&amp;CHAR(10)&amp;"Aqui é o "&amp;'Como usar'!$C$4&amp;". Ajudo hamburgueria a vender mais pelo próprio WhatsApp, sem taxa de app."&amp;CHAR(10)&amp;CHAR(10)&amp;IF(F125="","Fiz uma conta rápida: a cada 100 lanches de R$ 35 vendidos no iFood, uns R$ "&amp;ROUND(IF(G125="",35,G125)*100*0.152,-1)&amp;" ficam de taxa.","Fiz uma conta com o "&amp;F125&amp;" de vocês: a cada 100 vendidos no iFood, uns R$ "&amp;ROUND(IF(G125="",35,G125)*100*0.152,-1)&amp;"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"&amp;B125&amp;", de graça, pra vocês verem funcionando. Posso fazer?"</f>
        <v/>
      </c>
      <c r="I125" s="3" t="inlineStr">
        <is>
          <t>A contatar</t>
        </is>
      </c>
      <c r="J125" s="3" t="n"/>
    </row>
    <row r="126" ht="150" customHeight="1">
      <c r="A126" s="2" t="n">
        <v>125</v>
      </c>
      <c r="B126" s="3" t="inlineStr">
        <is>
          <t>Burger House</t>
        </is>
      </c>
      <c r="C126" s="4" t="inlineStr">
        <is>
          <t>Rio de Janeiro/RJ</t>
        </is>
      </c>
      <c r="D126" s="5" t="inlineStr">
        <is>
          <t>abrir</t>
        </is>
      </c>
      <c r="E126" s="3" t="n"/>
      <c r="F126" s="3" t="n"/>
      <c r="G126" s="6" t="n"/>
      <c r="H126" s="7">
        <f>"Oi, pessoal da "&amp;B126&amp;"! Tudo bem? 🍔"&amp;CHAR(10)&amp;"Aqui é o "&amp;'Como usar'!$C$4&amp;". Ajudo hamburgueria a vender mais pelo próprio WhatsApp, sem taxa de app."&amp;CHAR(10)&amp;CHAR(10)&amp;IF(F126="","Fiz uma conta rápida: a cada 100 lanches de R$ 35 vendidos no iFood, uns R$ "&amp;ROUND(IF(G126="",35,G126)*100*0.152,-1)&amp;" ficam de taxa.","Fiz uma conta com o "&amp;F126&amp;" de vocês: a cada 100 vendidos no iFood, uns R$ "&amp;ROUND(IF(G126="",35,G126)*100*0.152,-1)&amp;"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"&amp;B126&amp;", de graça, pra vocês verem funcionando. Posso fazer?"</f>
        <v/>
      </c>
      <c r="I126" s="3" t="inlineStr">
        <is>
          <t>A contatar</t>
        </is>
      </c>
      <c r="J126" s="3" t="n"/>
    </row>
    <row r="127" ht="150" customHeight="1">
      <c r="A127" s="2" t="n">
        <v>126</v>
      </c>
      <c r="B127" s="3" t="inlineStr">
        <is>
          <t>Gamers Burger Hamburgueria Artesanal</t>
        </is>
      </c>
      <c r="C127" s="4" t="inlineStr">
        <is>
          <t>Rio de Janeiro/RJ</t>
        </is>
      </c>
      <c r="D127" s="5" t="inlineStr">
        <is>
          <t>abrir</t>
        </is>
      </c>
      <c r="E127" s="3" t="n"/>
      <c r="F127" s="3" t="n"/>
      <c r="G127" s="6" t="n"/>
      <c r="H127" s="7">
        <f>"Oi, pessoal da "&amp;B127&amp;"! Tudo bem? 🍔"&amp;CHAR(10)&amp;"Aqui é o "&amp;'Como usar'!$C$4&amp;". Ajudo hamburgueria a vender mais pelo próprio WhatsApp, sem taxa de app."&amp;CHAR(10)&amp;CHAR(10)&amp;IF(F127="","Fiz uma conta rápida: a cada 100 lanches de R$ 35 vendidos no iFood, uns R$ "&amp;ROUND(IF(G127="",35,G127)*100*0.152,-1)&amp;" ficam de taxa.","Fiz uma conta com o "&amp;F127&amp;" de vocês: a cada 100 vendidos no iFood, uns R$ "&amp;ROUND(IF(G127="",35,G127)*100*0.152,-1)&amp;"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"&amp;B127&amp;", de graça, pra vocês verem funcionando. Posso fazer?"</f>
        <v/>
      </c>
      <c r="I127" s="3" t="inlineStr">
        <is>
          <t>A contatar</t>
        </is>
      </c>
      <c r="J127" s="3" t="n"/>
    </row>
    <row r="128" ht="150" customHeight="1">
      <c r="A128" s="2" t="n">
        <v>127</v>
      </c>
      <c r="B128" s="3" t="inlineStr">
        <is>
          <t>Gastro House Hamburgueria Artesanal</t>
        </is>
      </c>
      <c r="C128" s="4" t="inlineStr">
        <is>
          <t>Rio de Janeiro/RJ</t>
        </is>
      </c>
      <c r="D128" s="5" t="inlineStr">
        <is>
          <t>abrir</t>
        </is>
      </c>
      <c r="E128" s="3" t="n"/>
      <c r="F128" s="3" t="n"/>
      <c r="G128" s="6" t="n"/>
      <c r="H128" s="7">
        <f>"Oi, pessoal da "&amp;B128&amp;"! Tudo bem? 🍔"&amp;CHAR(10)&amp;"Aqui é o "&amp;'Como usar'!$C$4&amp;". Ajudo hamburgueria a vender mais pelo próprio WhatsApp, sem taxa de app."&amp;CHAR(10)&amp;CHAR(10)&amp;IF(F128="","Fiz uma conta rápida: a cada 100 lanches de R$ 35 vendidos no iFood, uns R$ "&amp;ROUND(IF(G128="",35,G128)*100*0.152,-1)&amp;" ficam de taxa.","Fiz uma conta com o "&amp;F128&amp;" de vocês: a cada 100 vendidos no iFood, uns R$ "&amp;ROUND(IF(G128="",35,G128)*100*0.152,-1)&amp;"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"&amp;B128&amp;", de graça, pra vocês verem funcionando. Posso fazer?"</f>
        <v/>
      </c>
      <c r="I128" s="3" t="inlineStr">
        <is>
          <t>A contatar</t>
        </is>
      </c>
      <c r="J128" s="3" t="n"/>
    </row>
    <row r="129" ht="150" customHeight="1">
      <c r="A129" s="2" t="n">
        <v>128</v>
      </c>
      <c r="B129" s="3" t="inlineStr">
        <is>
          <t>Hamburgueria SA</t>
        </is>
      </c>
      <c r="C129" s="4" t="inlineStr">
        <is>
          <t>Rio de Janeiro/RJ</t>
        </is>
      </c>
      <c r="D129" s="5" t="inlineStr">
        <is>
          <t>abrir</t>
        </is>
      </c>
      <c r="E129" s="3" t="n"/>
      <c r="F129" s="3" t="n"/>
      <c r="G129" s="6" t="n"/>
      <c r="H129" s="7">
        <f>"Oi, pessoal da "&amp;B129&amp;"! Tudo bem? 🍔"&amp;CHAR(10)&amp;"Aqui é o "&amp;'Como usar'!$C$4&amp;". Ajudo hamburgueria a vender mais pelo próprio WhatsApp, sem taxa de app."&amp;CHAR(10)&amp;CHAR(10)&amp;IF(F129="","Fiz uma conta rápida: a cada 100 lanches de R$ 35 vendidos no iFood, uns R$ "&amp;ROUND(IF(G129="",35,G129)*100*0.152,-1)&amp;" ficam de taxa.","Fiz uma conta com o "&amp;F129&amp;" de vocês: a cada 100 vendidos no iFood, uns R$ "&amp;ROUND(IF(G129="",35,G129)*100*0.152,-1)&amp;"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"&amp;B129&amp;", de graça, pra vocês verem funcionando. Posso fazer?"</f>
        <v/>
      </c>
      <c r="I129" s="3" t="inlineStr">
        <is>
          <t>A contatar</t>
        </is>
      </c>
      <c r="J129" s="3" t="n"/>
    </row>
    <row r="130" ht="150" customHeight="1">
      <c r="A130" s="2" t="n">
        <v>129</v>
      </c>
      <c r="B130" s="3" t="inlineStr">
        <is>
          <t>Hamburguesia</t>
        </is>
      </c>
      <c r="C130" s="4" t="inlineStr">
        <is>
          <t>Rio de Janeiro/RJ</t>
        </is>
      </c>
      <c r="D130" s="5" t="inlineStr">
        <is>
          <t>abrir</t>
        </is>
      </c>
      <c r="E130" s="3" t="n"/>
      <c r="F130" s="3" t="n"/>
      <c r="G130" s="6" t="n"/>
      <c r="H130" s="7">
        <f>"Oi, pessoal da "&amp;B130&amp;"! Tudo bem? 🍔"&amp;CHAR(10)&amp;"Aqui é o "&amp;'Como usar'!$C$4&amp;". Ajudo hamburgueria a vender mais pelo próprio WhatsApp, sem taxa de app."&amp;CHAR(10)&amp;CHAR(10)&amp;IF(F130="","Fiz uma conta rápida: a cada 100 lanches de R$ 35 vendidos no iFood, uns R$ "&amp;ROUND(IF(G130="",35,G130)*100*0.152,-1)&amp;" ficam de taxa.","Fiz uma conta com o "&amp;F130&amp;" de vocês: a cada 100 vendidos no iFood, uns R$ "&amp;ROUND(IF(G130="",35,G130)*100*0.152,-1)&amp;"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"&amp;B130&amp;", de graça, pra vocês verem funcionando. Posso fazer?"</f>
        <v/>
      </c>
      <c r="I130" s="3" t="inlineStr">
        <is>
          <t>A contatar</t>
        </is>
      </c>
      <c r="J130" s="3" t="n"/>
    </row>
    <row r="131" ht="150" customHeight="1">
      <c r="A131" s="2" t="n">
        <v>130</v>
      </c>
      <c r="B131" s="3" t="inlineStr">
        <is>
          <t>Real Burguer</t>
        </is>
      </c>
      <c r="C131" s="4" t="inlineStr">
        <is>
          <t>Rio de Janeiro/RJ</t>
        </is>
      </c>
      <c r="D131" s="5" t="inlineStr">
        <is>
          <t>abrir</t>
        </is>
      </c>
      <c r="E131" s="3" t="n"/>
      <c r="F131" s="3" t="n"/>
      <c r="G131" s="6" t="n"/>
      <c r="H131" s="7">
        <f>"Oi, pessoal da "&amp;B131&amp;"! Tudo bem? 🍔"&amp;CHAR(10)&amp;"Aqui é o "&amp;'Como usar'!$C$4&amp;". Ajudo hamburgueria a vender mais pelo próprio WhatsApp, sem taxa de app."&amp;CHAR(10)&amp;CHAR(10)&amp;IF(F131="","Fiz uma conta rápida: a cada 100 lanches de R$ 35 vendidos no iFood, uns R$ "&amp;ROUND(IF(G131="",35,G131)*100*0.152,-1)&amp;" ficam de taxa.","Fiz uma conta com o "&amp;F131&amp;" de vocês: a cada 100 vendidos no iFood, uns R$ "&amp;ROUND(IF(G131="",35,G131)*100*0.152,-1)&amp;"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"&amp;B131&amp;", de graça, pra vocês verem funcionando. Posso fazer?"</f>
        <v/>
      </c>
      <c r="I131" s="3" t="inlineStr">
        <is>
          <t>A contatar</t>
        </is>
      </c>
      <c r="J131" s="3" t="n"/>
    </row>
    <row r="132" ht="150" customHeight="1">
      <c r="A132" s="2" t="n">
        <v>131</v>
      </c>
      <c r="B132" s="3" t="inlineStr">
        <is>
          <t>Street Hamburgueria Artesanal</t>
        </is>
      </c>
      <c r="C132" s="4" t="inlineStr">
        <is>
          <t>Rio de Janeiro/RJ</t>
        </is>
      </c>
      <c r="D132" s="5" t="inlineStr">
        <is>
          <t>abrir</t>
        </is>
      </c>
      <c r="E132" s="3" t="n"/>
      <c r="F132" s="3" t="n"/>
      <c r="G132" s="6" t="n"/>
      <c r="H132" s="7">
        <f>"Oi, pessoal da "&amp;B132&amp;"! Tudo bem? 🍔"&amp;CHAR(10)&amp;"Aqui é o "&amp;'Como usar'!$C$4&amp;". Ajudo hamburgueria a vender mais pelo próprio WhatsApp, sem taxa de app."&amp;CHAR(10)&amp;CHAR(10)&amp;IF(F132="","Fiz uma conta rápida: a cada 100 lanches de R$ 35 vendidos no iFood, uns R$ "&amp;ROUND(IF(G132="",35,G132)*100*0.152,-1)&amp;" ficam de taxa.","Fiz uma conta com o "&amp;F132&amp;" de vocês: a cada 100 vendidos no iFood, uns R$ "&amp;ROUND(IF(G132="",35,G132)*100*0.152,-1)&amp;"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"&amp;B132&amp;", de graça, pra vocês verem funcionando. Posso fazer?"</f>
        <v/>
      </c>
      <c r="I132" s="3" t="inlineStr">
        <is>
          <t>A contatar</t>
        </is>
      </c>
      <c r="J132" s="3" t="n"/>
    </row>
    <row r="133" ht="150" customHeight="1">
      <c r="A133" s="2" t="n">
        <v>132</v>
      </c>
      <c r="B133" s="3" t="inlineStr">
        <is>
          <t>Tártaros Hamburgueria Artesanal</t>
        </is>
      </c>
      <c r="C133" s="4" t="inlineStr">
        <is>
          <t>Rio de Janeiro/RJ</t>
        </is>
      </c>
      <c r="D133" s="5" t="inlineStr">
        <is>
          <t>abrir</t>
        </is>
      </c>
      <c r="E133" s="3" t="n"/>
      <c r="F133" s="3" t="n"/>
      <c r="G133" s="6" t="n"/>
      <c r="H133" s="7">
        <f>"Oi, pessoal da "&amp;B133&amp;"! Tudo bem? 🍔"&amp;CHAR(10)&amp;"Aqui é o "&amp;'Como usar'!$C$4&amp;". Ajudo hamburgueria a vender mais pelo próprio WhatsApp, sem taxa de app."&amp;CHAR(10)&amp;CHAR(10)&amp;IF(F133="","Fiz uma conta rápida: a cada 100 lanches de R$ 35 vendidos no iFood, uns R$ "&amp;ROUND(IF(G133="",35,G133)*100*0.152,-1)&amp;" ficam de taxa.","Fiz uma conta com o "&amp;F133&amp;" de vocês: a cada 100 vendidos no iFood, uns R$ "&amp;ROUND(IF(G133="",35,G133)*100*0.152,-1)&amp;"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"&amp;B133&amp;", de graça, pra vocês verem funcionando. Posso fazer?"</f>
        <v/>
      </c>
      <c r="I133" s="3" t="inlineStr">
        <is>
          <t>A contatar</t>
        </is>
      </c>
      <c r="J133" s="3" t="n"/>
    </row>
    <row r="134" ht="150" customHeight="1">
      <c r="A134" s="2" t="n">
        <v>133</v>
      </c>
      <c r="B134" s="3" t="inlineStr">
        <is>
          <t>Galaxy Smash Burger</t>
        </is>
      </c>
      <c r="C134" s="4" t="inlineStr">
        <is>
          <t>Natal/RN</t>
        </is>
      </c>
      <c r="D134" s="5" t="inlineStr">
        <is>
          <t>abrir</t>
        </is>
      </c>
      <c r="E134" s="3" t="n"/>
      <c r="F134" s="3" t="n"/>
      <c r="G134" s="6" t="n"/>
      <c r="H134" s="7">
        <f>"Oi, pessoal da "&amp;B134&amp;"! Tudo bem? 🍔"&amp;CHAR(10)&amp;"Aqui é o "&amp;'Como usar'!$C$4&amp;". Ajudo hamburgueria a vender mais pelo próprio WhatsApp, sem taxa de app."&amp;CHAR(10)&amp;CHAR(10)&amp;IF(F134="","Fiz uma conta rápida: a cada 100 lanches de R$ 35 vendidos no iFood, uns R$ "&amp;ROUND(IF(G134="",35,G134)*100*0.152,-1)&amp;" ficam de taxa.","Fiz uma conta com o "&amp;F134&amp;" de vocês: a cada 100 vendidos no iFood, uns R$ "&amp;ROUND(IF(G134="",35,G134)*100*0.152,-1)&amp;"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"&amp;B134&amp;", de graça, pra vocês verem funcionando. Posso fazer?"</f>
        <v/>
      </c>
      <c r="I134" s="3" t="inlineStr">
        <is>
          <t>A contatar</t>
        </is>
      </c>
      <c r="J134" s="3" t="n"/>
    </row>
    <row r="135" ht="150" customHeight="1">
      <c r="A135" s="2" t="n">
        <v>134</v>
      </c>
      <c r="B135" s="3" t="inlineStr">
        <is>
          <t>Nogueirinha's Burger</t>
        </is>
      </c>
      <c r="C135" s="4" t="inlineStr">
        <is>
          <t>Natal/RN</t>
        </is>
      </c>
      <c r="D135" s="5" t="inlineStr">
        <is>
          <t>abrir</t>
        </is>
      </c>
      <c r="E135" s="3" t="n"/>
      <c r="F135" s="3" t="n"/>
      <c r="G135" s="6" t="n"/>
      <c r="H135" s="7">
        <f>"Oi, pessoal da "&amp;B135&amp;"! Tudo bem? 🍔"&amp;CHAR(10)&amp;"Aqui é o "&amp;'Como usar'!$C$4&amp;". Ajudo hamburgueria a vender mais pelo próprio WhatsApp, sem taxa de app."&amp;CHAR(10)&amp;CHAR(10)&amp;IF(F135="","Fiz uma conta rápida: a cada 100 lanches de R$ 35 vendidos no iFood, uns R$ "&amp;ROUND(IF(G135="",35,G135)*100*0.152,-1)&amp;" ficam de taxa.","Fiz uma conta com o "&amp;F135&amp;" de vocês: a cada 100 vendidos no iFood, uns R$ "&amp;ROUND(IF(G135="",35,G135)*100*0.152,-1)&amp;"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"&amp;B135&amp;", de graça, pra vocês verem funcionando. Posso fazer?"</f>
        <v/>
      </c>
      <c r="I135" s="3" t="inlineStr">
        <is>
          <t>A contatar</t>
        </is>
      </c>
      <c r="J135" s="3" t="n"/>
    </row>
    <row r="136" ht="150" customHeight="1">
      <c r="A136" s="2" t="n">
        <v>135</v>
      </c>
      <c r="B136" s="3" t="inlineStr">
        <is>
          <t>Pastelanche Lagoa Nova Pastel&amp;hambúrguer</t>
        </is>
      </c>
      <c r="C136" s="4" t="inlineStr">
        <is>
          <t>Natal/RN</t>
        </is>
      </c>
      <c r="D136" s="5" t="inlineStr">
        <is>
          <t>abrir</t>
        </is>
      </c>
      <c r="E136" s="3" t="n"/>
      <c r="F136" s="3" t="n"/>
      <c r="G136" s="6" t="n"/>
      <c r="H136" s="7">
        <f>"Oi, pessoal da "&amp;B136&amp;"! Tudo bem? 🍔"&amp;CHAR(10)&amp;"Aqui é o "&amp;'Como usar'!$C$4&amp;". Ajudo hamburgueria a vender mais pelo próprio WhatsApp, sem taxa de app."&amp;CHAR(10)&amp;CHAR(10)&amp;IF(F136="","Fiz uma conta rápida: a cada 100 lanches de R$ 35 vendidos no iFood, uns R$ "&amp;ROUND(IF(G136="",35,G136)*100*0.152,-1)&amp;" ficam de taxa.","Fiz uma conta com o "&amp;F136&amp;" de vocês: a cada 100 vendidos no iFood, uns R$ "&amp;ROUND(IF(G136="",35,G136)*100*0.152,-1)&amp;"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"&amp;B136&amp;", de graça, pra vocês verem funcionando. Posso fazer?"</f>
        <v/>
      </c>
      <c r="I136" s="3" t="inlineStr">
        <is>
          <t>A contatar</t>
        </is>
      </c>
      <c r="J136" s="3" t="n"/>
    </row>
    <row r="137" ht="150" customHeight="1">
      <c r="A137" s="2" t="n">
        <v>136</v>
      </c>
      <c r="B137" s="3" t="inlineStr">
        <is>
          <t>Broken Burger</t>
        </is>
      </c>
      <c r="C137" s="4" t="inlineStr">
        <is>
          <t>Porto Velho/RO</t>
        </is>
      </c>
      <c r="D137" s="5" t="inlineStr">
        <is>
          <t>abrir</t>
        </is>
      </c>
      <c r="E137" s="3" t="n"/>
      <c r="F137" s="3" t="n"/>
      <c r="G137" s="6" t="n"/>
      <c r="H137" s="7">
        <f>"Oi, pessoal da "&amp;B137&amp;"! Tudo bem? 🍔"&amp;CHAR(10)&amp;"Aqui é o "&amp;'Como usar'!$C$4&amp;". Ajudo hamburgueria a vender mais pelo próprio WhatsApp, sem taxa de app."&amp;CHAR(10)&amp;CHAR(10)&amp;IF(F137="","Fiz uma conta rápida: a cada 100 lanches de R$ 35 vendidos no iFood, uns R$ "&amp;ROUND(IF(G137="",35,G137)*100*0.152,-1)&amp;" ficam de taxa.","Fiz uma conta com o "&amp;F137&amp;" de vocês: a cada 100 vendidos no iFood, uns R$ "&amp;ROUND(IF(G137="",35,G137)*100*0.152,-1)&amp;"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"&amp;B137&amp;", de graça, pra vocês verem funcionando. Posso fazer?"</f>
        <v/>
      </c>
      <c r="I137" s="3" t="inlineStr">
        <is>
          <t>A contatar</t>
        </is>
      </c>
      <c r="J137" s="3" t="n"/>
    </row>
    <row r="138" ht="150" customHeight="1">
      <c r="A138" s="2" t="n">
        <v>137</v>
      </c>
      <c r="B138" s="3" t="inlineStr">
        <is>
          <t>Burger Bros Hamburgueria</t>
        </is>
      </c>
      <c r="C138" s="4" t="inlineStr">
        <is>
          <t>Porto Velho/RO</t>
        </is>
      </c>
      <c r="D138" s="5" t="inlineStr">
        <is>
          <t>abrir</t>
        </is>
      </c>
      <c r="E138" s="3" t="n"/>
      <c r="F138" s="3" t="n"/>
      <c r="G138" s="6" t="n"/>
      <c r="H138" s="7">
        <f>"Oi, pessoal da "&amp;B138&amp;"! Tudo bem? 🍔"&amp;CHAR(10)&amp;"Aqui é o "&amp;'Como usar'!$C$4&amp;". Ajudo hamburgueria a vender mais pelo próprio WhatsApp, sem taxa de app."&amp;CHAR(10)&amp;CHAR(10)&amp;IF(F138="","Fiz uma conta rápida: a cada 100 lanches de R$ 35 vendidos no iFood, uns R$ "&amp;ROUND(IF(G138="",35,G138)*100*0.152,-1)&amp;" ficam de taxa.","Fiz uma conta com o "&amp;F138&amp;" de vocês: a cada 100 vendidos no iFood, uns R$ "&amp;ROUND(IF(G138="",35,G138)*100*0.152,-1)&amp;"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"&amp;B138&amp;", de graça, pra vocês verem funcionando. Posso fazer?"</f>
        <v/>
      </c>
      <c r="I138" s="3" t="inlineStr">
        <is>
          <t>A contatar</t>
        </is>
      </c>
      <c r="J138" s="3" t="n"/>
    </row>
    <row r="139" ht="150" customHeight="1">
      <c r="A139" s="2" t="n">
        <v>138</v>
      </c>
      <c r="B139" s="3" t="inlineStr">
        <is>
          <t>Routes Hamburgueria</t>
        </is>
      </c>
      <c r="C139" s="4" t="inlineStr">
        <is>
          <t>Porto Velho/RO</t>
        </is>
      </c>
      <c r="D139" s="5" t="inlineStr">
        <is>
          <t>abrir</t>
        </is>
      </c>
      <c r="E139" s="3" t="n"/>
      <c r="F139" s="3" t="n"/>
      <c r="G139" s="6" t="n"/>
      <c r="H139" s="7">
        <f>"Oi, pessoal da "&amp;B139&amp;"! Tudo bem? 🍔"&amp;CHAR(10)&amp;"Aqui é o "&amp;'Como usar'!$C$4&amp;". Ajudo hamburgueria a vender mais pelo próprio WhatsApp, sem taxa de app."&amp;CHAR(10)&amp;CHAR(10)&amp;IF(F139="","Fiz uma conta rápida: a cada 100 lanches de R$ 35 vendidos no iFood, uns R$ "&amp;ROUND(IF(G139="",35,G139)*100*0.152,-1)&amp;" ficam de taxa.","Fiz uma conta com o "&amp;F139&amp;" de vocês: a cada 100 vendidos no iFood, uns R$ "&amp;ROUND(IF(G139="",35,G139)*100*0.152,-1)&amp;"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"&amp;B139&amp;", de graça, pra vocês verem funcionando. Posso fazer?"</f>
        <v/>
      </c>
      <c r="I139" s="3" t="inlineStr">
        <is>
          <t>A contatar</t>
        </is>
      </c>
      <c r="J139" s="3" t="n"/>
    </row>
    <row r="140" ht="150" customHeight="1">
      <c r="A140" s="2" t="n">
        <v>139</v>
      </c>
      <c r="B140" s="3" t="inlineStr">
        <is>
          <t>Speciality Burguer Hamburgueria Artesanal</t>
        </is>
      </c>
      <c r="C140" s="4" t="inlineStr">
        <is>
          <t>Porto Velho/RO</t>
        </is>
      </c>
      <c r="D140" s="5" t="inlineStr">
        <is>
          <t>abrir</t>
        </is>
      </c>
      <c r="E140" s="3" t="n"/>
      <c r="F140" s="3" t="n"/>
      <c r="G140" s="6" t="n"/>
      <c r="H140" s="7">
        <f>"Oi, pessoal da "&amp;B140&amp;"! Tudo bem? 🍔"&amp;CHAR(10)&amp;"Aqui é o "&amp;'Como usar'!$C$4&amp;". Ajudo hamburgueria a vender mais pelo próprio WhatsApp, sem taxa de app."&amp;CHAR(10)&amp;CHAR(10)&amp;IF(F140="","Fiz uma conta rápida: a cada 100 lanches de R$ 35 vendidos no iFood, uns R$ "&amp;ROUND(IF(G140="",35,G140)*100*0.152,-1)&amp;" ficam de taxa.","Fiz uma conta com o "&amp;F140&amp;" de vocês: a cada 100 vendidos no iFood, uns R$ "&amp;ROUND(IF(G140="",35,G140)*100*0.152,-1)&amp;"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"&amp;B140&amp;", de graça, pra vocês verem funcionando. Posso fazer?"</f>
        <v/>
      </c>
      <c r="I140" s="3" t="inlineStr">
        <is>
          <t>A contatar</t>
        </is>
      </c>
      <c r="J140" s="3" t="n"/>
    </row>
    <row r="141" ht="150" customHeight="1">
      <c r="A141" s="2" t="n">
        <v>140</v>
      </c>
      <c r="B141" s="3" t="inlineStr">
        <is>
          <t>Velho Burger Hamburgueria</t>
        </is>
      </c>
      <c r="C141" s="4" t="inlineStr">
        <is>
          <t>Porto Velho/RO</t>
        </is>
      </c>
      <c r="D141" s="5" t="inlineStr">
        <is>
          <t>abrir</t>
        </is>
      </c>
      <c r="E141" s="3" t="n"/>
      <c r="F141" s="3" t="n"/>
      <c r="G141" s="6" t="n"/>
      <c r="H141" s="7">
        <f>"Oi, pessoal da "&amp;B141&amp;"! Tudo bem? 🍔"&amp;CHAR(10)&amp;"Aqui é o "&amp;'Como usar'!$C$4&amp;". Ajudo hamburgueria a vender mais pelo próprio WhatsApp, sem taxa de app."&amp;CHAR(10)&amp;CHAR(10)&amp;IF(F141="","Fiz uma conta rápida: a cada 100 lanches de R$ 35 vendidos no iFood, uns R$ "&amp;ROUND(IF(G141="",35,G141)*100*0.152,-1)&amp;" ficam de taxa.","Fiz uma conta com o "&amp;F141&amp;" de vocês: a cada 100 vendidos no iFood, uns R$ "&amp;ROUND(IF(G141="",35,G141)*100*0.152,-1)&amp;"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"&amp;B141&amp;", de graça, pra vocês verem funcionando. Posso fazer?"</f>
        <v/>
      </c>
      <c r="I141" s="3" t="inlineStr">
        <is>
          <t>A contatar</t>
        </is>
      </c>
      <c r="J141" s="3" t="n"/>
    </row>
    <row r="142" ht="150" customHeight="1">
      <c r="A142" s="2" t="n">
        <v>141</v>
      </c>
      <c r="B142" s="3" t="inlineStr">
        <is>
          <t>D'burger</t>
        </is>
      </c>
      <c r="C142" s="4" t="inlineStr">
        <is>
          <t>Boa Vista/RR</t>
        </is>
      </c>
      <c r="D142" s="5" t="inlineStr">
        <is>
          <t>abrir</t>
        </is>
      </c>
      <c r="E142" s="3" t="n"/>
      <c r="F142" s="3" t="n"/>
      <c r="G142" s="6" t="n"/>
      <c r="H142" s="7">
        <f>"Oi, pessoal da "&amp;B142&amp;"! Tudo bem? 🍔"&amp;CHAR(10)&amp;"Aqui é o "&amp;'Como usar'!$C$4&amp;". Ajudo hamburgueria a vender mais pelo próprio WhatsApp, sem taxa de app."&amp;CHAR(10)&amp;CHAR(10)&amp;IF(F142="","Fiz uma conta rápida: a cada 100 lanches de R$ 35 vendidos no iFood, uns R$ "&amp;ROUND(IF(G142="",35,G142)*100*0.152,-1)&amp;" ficam de taxa.","Fiz uma conta com o "&amp;F142&amp;" de vocês: a cada 100 vendidos no iFood, uns R$ "&amp;ROUND(IF(G142="",35,G142)*100*0.152,-1)&amp;"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"&amp;B142&amp;", de graça, pra vocês verem funcionando. Posso fazer?"</f>
        <v/>
      </c>
      <c r="I142" s="3" t="inlineStr">
        <is>
          <t>A contatar</t>
        </is>
      </c>
      <c r="J142" s="3" t="n"/>
    </row>
    <row r="143" ht="150" customHeight="1">
      <c r="A143" s="2" t="n">
        <v>142</v>
      </c>
      <c r="B143" s="3" t="inlineStr">
        <is>
          <t>Hamburgueria 244</t>
        </is>
      </c>
      <c r="C143" s="4" t="inlineStr">
        <is>
          <t>Boa Vista/RR</t>
        </is>
      </c>
      <c r="D143" s="5" t="inlineStr">
        <is>
          <t>abrir</t>
        </is>
      </c>
      <c r="E143" s="3" t="n"/>
      <c r="F143" s="3" t="n"/>
      <c r="G143" s="6" t="n"/>
      <c r="H143" s="7">
        <f>"Oi, pessoal da "&amp;B143&amp;"! Tudo bem? 🍔"&amp;CHAR(10)&amp;"Aqui é o "&amp;'Como usar'!$C$4&amp;". Ajudo hamburgueria a vender mais pelo próprio WhatsApp, sem taxa de app."&amp;CHAR(10)&amp;CHAR(10)&amp;IF(F143="","Fiz uma conta rápida: a cada 100 lanches de R$ 35 vendidos no iFood, uns R$ "&amp;ROUND(IF(G143="",35,G143)*100*0.152,-1)&amp;" ficam de taxa.","Fiz uma conta com o "&amp;F143&amp;" de vocês: a cada 100 vendidos no iFood, uns R$ "&amp;ROUND(IF(G143="",35,G143)*100*0.152,-1)&amp;"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"&amp;B143&amp;", de graça, pra vocês verem funcionando. Posso fazer?"</f>
        <v/>
      </c>
      <c r="I143" s="3" t="inlineStr">
        <is>
          <t>A contatar</t>
        </is>
      </c>
      <c r="J143" s="3" t="n"/>
    </row>
    <row r="144" ht="150" customHeight="1">
      <c r="A144" s="2" t="n">
        <v>143</v>
      </c>
      <c r="B144" s="3" t="inlineStr">
        <is>
          <t>Peppers Burger</t>
        </is>
      </c>
      <c r="C144" s="4" t="inlineStr">
        <is>
          <t>Erechim/RS</t>
        </is>
      </c>
      <c r="D144" s="5" t="inlineStr">
        <is>
          <t>abrir</t>
        </is>
      </c>
      <c r="E144" s="3" t="n"/>
      <c r="F144" s="3" t="n"/>
      <c r="G144" s="6" t="n"/>
      <c r="H144" s="7">
        <f>"Oi, pessoal da "&amp;B144&amp;"! Tudo bem? 🍔"&amp;CHAR(10)&amp;"Aqui é o "&amp;'Como usar'!$C$4&amp;". Ajudo hamburgueria a vender mais pelo próprio WhatsApp, sem taxa de app."&amp;CHAR(10)&amp;CHAR(10)&amp;IF(F144="","Fiz uma conta rápida: a cada 100 lanches de R$ 35 vendidos no iFood, uns R$ "&amp;ROUND(IF(G144="",35,G144)*100*0.152,-1)&amp;" ficam de taxa.","Fiz uma conta com o "&amp;F144&amp;" de vocês: a cada 100 vendidos no iFood, uns R$ "&amp;ROUND(IF(G144="",35,G144)*100*0.152,-1)&amp;"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"&amp;B144&amp;", de graça, pra vocês verem funcionando. Posso fazer?"</f>
        <v/>
      </c>
      <c r="I144" s="3" t="inlineStr">
        <is>
          <t>A contatar</t>
        </is>
      </c>
      <c r="J144" s="3" t="n"/>
    </row>
    <row r="145" ht="150" customHeight="1">
      <c r="A145" s="2" t="n">
        <v>144</v>
      </c>
      <c r="B145" s="3" t="inlineStr">
        <is>
          <t>Master Smash Burger</t>
        </is>
      </c>
      <c r="C145" s="4" t="inlineStr">
        <is>
          <t>Porto Alegre/RS</t>
        </is>
      </c>
      <c r="D145" s="5" t="inlineStr">
        <is>
          <t>abrir</t>
        </is>
      </c>
      <c r="E145" s="3" t="n"/>
      <c r="F145" s="3" t="n"/>
      <c r="G145" s="6" t="n"/>
      <c r="H145" s="7">
        <f>"Oi, pessoal da "&amp;B145&amp;"! Tudo bem? 🍔"&amp;CHAR(10)&amp;"Aqui é o "&amp;'Como usar'!$C$4&amp;". Ajudo hamburgueria a vender mais pelo próprio WhatsApp, sem taxa de app."&amp;CHAR(10)&amp;CHAR(10)&amp;IF(F145="","Fiz uma conta rápida: a cada 100 lanches de R$ 35 vendidos no iFood, uns R$ "&amp;ROUND(IF(G145="",35,G145)*100*0.152,-1)&amp;" ficam de taxa.","Fiz uma conta com o "&amp;F145&amp;" de vocês: a cada 100 vendidos no iFood, uns R$ "&amp;ROUND(IF(G145="",35,G145)*100*0.152,-1)&amp;"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"&amp;B145&amp;", de graça, pra vocês verem funcionando. Posso fazer?"</f>
        <v/>
      </c>
      <c r="I145" s="3" t="inlineStr">
        <is>
          <t>A contatar</t>
        </is>
      </c>
      <c r="J145" s="3" t="n"/>
    </row>
    <row r="146" ht="150" customHeight="1">
      <c r="A146" s="2" t="n">
        <v>145</v>
      </c>
      <c r="B146" s="3" t="inlineStr">
        <is>
          <t>Porto Burger e Xis</t>
        </is>
      </c>
      <c r="C146" s="4" t="inlineStr">
        <is>
          <t>Porto Alegre/RS</t>
        </is>
      </c>
      <c r="D146" s="5" t="inlineStr">
        <is>
          <t>abrir</t>
        </is>
      </c>
      <c r="E146" s="3" t="n"/>
      <c r="F146" s="3" t="n"/>
      <c r="G146" s="6" t="n"/>
      <c r="H146" s="7">
        <f>"Oi, pessoal da "&amp;B146&amp;"! Tudo bem? 🍔"&amp;CHAR(10)&amp;"Aqui é o "&amp;'Como usar'!$C$4&amp;". Ajudo hamburgueria a vender mais pelo próprio WhatsApp, sem taxa de app."&amp;CHAR(10)&amp;CHAR(10)&amp;IF(F146="","Fiz uma conta rápida: a cada 100 lanches de R$ 35 vendidos no iFood, uns R$ "&amp;ROUND(IF(G146="",35,G146)*100*0.152,-1)&amp;" ficam de taxa.","Fiz uma conta com o "&amp;F146&amp;" de vocês: a cada 100 vendidos no iFood, uns R$ "&amp;ROUND(IF(G146="",35,G146)*100*0.152,-1)&amp;"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"&amp;B146&amp;", de graça, pra vocês verem funcionando. Posso fazer?"</f>
        <v/>
      </c>
      <c r="I146" s="3" t="inlineStr">
        <is>
          <t>A contatar</t>
        </is>
      </c>
      <c r="J146" s="3" t="n"/>
    </row>
    <row r="147" ht="150" customHeight="1">
      <c r="A147" s="2" t="n">
        <v>146</v>
      </c>
      <c r="B147" s="3" t="inlineStr">
        <is>
          <t>Pretti Hamburgueria</t>
        </is>
      </c>
      <c r="C147" s="4" t="inlineStr">
        <is>
          <t>Porto Alegre/RS</t>
        </is>
      </c>
      <c r="D147" s="5" t="inlineStr">
        <is>
          <t>abrir</t>
        </is>
      </c>
      <c r="E147" s="3" t="n"/>
      <c r="F147" s="3" t="n"/>
      <c r="G147" s="6" t="n"/>
      <c r="H147" s="7">
        <f>"Oi, pessoal da "&amp;B147&amp;"! Tudo bem? 🍔"&amp;CHAR(10)&amp;"Aqui é o "&amp;'Como usar'!$C$4&amp;". Ajudo hamburgueria a vender mais pelo próprio WhatsApp, sem taxa de app."&amp;CHAR(10)&amp;CHAR(10)&amp;IF(F147="","Fiz uma conta rápida: a cada 100 lanches de R$ 35 vendidos no iFood, uns R$ "&amp;ROUND(IF(G147="",35,G147)*100*0.152,-1)&amp;" ficam de taxa.","Fiz uma conta com o "&amp;F147&amp;" de vocês: a cada 100 vendidos no iFood, uns R$ "&amp;ROUND(IF(G147="",35,G147)*100*0.152,-1)&amp;"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"&amp;B147&amp;", de graça, pra vocês verem funcionando. Posso fazer?"</f>
        <v/>
      </c>
      <c r="I147" s="3" t="inlineStr">
        <is>
          <t>A contatar</t>
        </is>
      </c>
      <c r="J147" s="3" t="n"/>
    </row>
    <row r="148" ht="150" customHeight="1">
      <c r="A148" s="2" t="n">
        <v>147</v>
      </c>
      <c r="B148" s="3" t="inlineStr">
        <is>
          <t>Smash Burger Poa</t>
        </is>
      </c>
      <c r="C148" s="4" t="inlineStr">
        <is>
          <t>Porto Alegre/RS</t>
        </is>
      </c>
      <c r="D148" s="5" t="inlineStr">
        <is>
          <t>abrir</t>
        </is>
      </c>
      <c r="E148" s="3" t="n"/>
      <c r="F148" s="3" t="n"/>
      <c r="G148" s="6" t="n"/>
      <c r="H148" s="7">
        <f>"Oi, pessoal da "&amp;B148&amp;"! Tudo bem? 🍔"&amp;CHAR(10)&amp;"Aqui é o "&amp;'Como usar'!$C$4&amp;". Ajudo hamburgueria a vender mais pelo próprio WhatsApp, sem taxa de app."&amp;CHAR(10)&amp;CHAR(10)&amp;IF(F148="","Fiz uma conta rápida: a cada 100 lanches de R$ 35 vendidos no iFood, uns R$ "&amp;ROUND(IF(G148="",35,G148)*100*0.152,-1)&amp;" ficam de taxa.","Fiz uma conta com o "&amp;F148&amp;" de vocês: a cada 100 vendidos no iFood, uns R$ "&amp;ROUND(IF(G148="",35,G148)*100*0.152,-1)&amp;"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"&amp;B148&amp;", de graça, pra vocês verem funcionando. Posso fazer?"</f>
        <v/>
      </c>
      <c r="I148" s="3" t="inlineStr">
        <is>
          <t>A contatar</t>
        </is>
      </c>
      <c r="J148" s="3" t="n"/>
    </row>
    <row r="149" ht="150" customHeight="1">
      <c r="A149" s="2" t="n">
        <v>148</v>
      </c>
      <c r="B149" s="3" t="inlineStr">
        <is>
          <t>Xis Flip</t>
        </is>
      </c>
      <c r="C149" s="4" t="inlineStr">
        <is>
          <t>Porto Alegre/RS</t>
        </is>
      </c>
      <c r="D149" s="5" t="inlineStr">
        <is>
          <t>abrir</t>
        </is>
      </c>
      <c r="E149" s="3" t="n"/>
      <c r="F149" s="3" t="n"/>
      <c r="G149" s="6" t="n"/>
      <c r="H149" s="7">
        <f>"Oi, pessoal da "&amp;B149&amp;"! Tudo bem? 🍔"&amp;CHAR(10)&amp;"Aqui é o "&amp;'Como usar'!$C$4&amp;". Ajudo hamburgueria a vender mais pelo próprio WhatsApp, sem taxa de app."&amp;CHAR(10)&amp;CHAR(10)&amp;IF(F149="","Fiz uma conta rápida: a cada 100 lanches de R$ 35 vendidos no iFood, uns R$ "&amp;ROUND(IF(G149="",35,G149)*100*0.152,-1)&amp;" ficam de taxa.","Fiz uma conta com o "&amp;F149&amp;" de vocês: a cada 100 vendidos no iFood, uns R$ "&amp;ROUND(IF(G149="",35,G149)*100*0.152,-1)&amp;"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"&amp;B149&amp;", de graça, pra vocês verem funcionando. Posso fazer?"</f>
        <v/>
      </c>
      <c r="I149" s="3" t="inlineStr">
        <is>
          <t>A contatar</t>
        </is>
      </c>
      <c r="J149" s="3" t="n"/>
    </row>
    <row r="150" ht="150" customHeight="1">
      <c r="A150" s="2" t="n">
        <v>149</v>
      </c>
      <c r="B150" s="3" t="inlineStr">
        <is>
          <t>Billy King Hamburgueria</t>
        </is>
      </c>
      <c r="C150" s="4" t="inlineStr">
        <is>
          <t>Florianópolis/SC</t>
        </is>
      </c>
      <c r="D150" s="5" t="inlineStr">
        <is>
          <t>abrir</t>
        </is>
      </c>
      <c r="E150" s="3" t="n"/>
      <c r="F150" s="3" t="n"/>
      <c r="G150" s="6" t="n"/>
      <c r="H150" s="7">
        <f>"Oi, pessoal da "&amp;B150&amp;"! Tudo bem? 🍔"&amp;CHAR(10)&amp;"Aqui é o "&amp;'Como usar'!$C$4&amp;". Ajudo hamburgueria a vender mais pelo próprio WhatsApp, sem taxa de app."&amp;CHAR(10)&amp;CHAR(10)&amp;IF(F150="","Fiz uma conta rápida: a cada 100 lanches de R$ 35 vendidos no iFood, uns R$ "&amp;ROUND(IF(G150="",35,G150)*100*0.152,-1)&amp;" ficam de taxa.","Fiz uma conta com o "&amp;F150&amp;" de vocês: a cada 100 vendidos no iFood, uns R$ "&amp;ROUND(IF(G150="",35,G150)*100*0.152,-1)&amp;"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"&amp;B150&amp;", de graça, pra vocês verem funcionando. Posso fazer?"</f>
        <v/>
      </c>
      <c r="I150" s="3" t="inlineStr">
        <is>
          <t>A contatar</t>
        </is>
      </c>
      <c r="J150" s="3" t="n"/>
    </row>
    <row r="151" ht="150" customHeight="1">
      <c r="A151" s="2" t="n">
        <v>150</v>
      </c>
      <c r="B151" s="3" t="inlineStr">
        <is>
          <t>Flaty Burger</t>
        </is>
      </c>
      <c r="C151" s="4" t="inlineStr">
        <is>
          <t>Florianópolis/SC</t>
        </is>
      </c>
      <c r="D151" s="5" t="inlineStr">
        <is>
          <t>abrir</t>
        </is>
      </c>
      <c r="E151" s="3" t="n"/>
      <c r="F151" s="3" t="n"/>
      <c r="G151" s="6" t="n"/>
      <c r="H151" s="7">
        <f>"Oi, pessoal da "&amp;B151&amp;"! Tudo bem? 🍔"&amp;CHAR(10)&amp;"Aqui é o "&amp;'Como usar'!$C$4&amp;". Ajudo hamburgueria a vender mais pelo próprio WhatsApp, sem taxa de app."&amp;CHAR(10)&amp;CHAR(10)&amp;IF(F151="","Fiz uma conta rápida: a cada 100 lanches de R$ 35 vendidos no iFood, uns R$ "&amp;ROUND(IF(G151="",35,G151)*100*0.152,-1)&amp;" ficam de taxa.","Fiz uma conta com o "&amp;F151&amp;" de vocês: a cada 100 vendidos no iFood, uns R$ "&amp;ROUND(IF(G151="",35,G151)*100*0.152,-1)&amp;"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"&amp;B151&amp;", de graça, pra vocês verem funcionando. Posso fazer?"</f>
        <v/>
      </c>
      <c r="I151" s="3" t="inlineStr">
        <is>
          <t>A contatar</t>
        </is>
      </c>
      <c r="J151" s="3" t="n"/>
    </row>
    <row r="152" ht="150" customHeight="1">
      <c r="A152" s="2" t="n">
        <v>151</v>
      </c>
      <c r="B152" s="3" t="inlineStr">
        <is>
          <t>Floripa Burgers</t>
        </is>
      </c>
      <c r="C152" s="4" t="inlineStr">
        <is>
          <t>Florianópolis/SC</t>
        </is>
      </c>
      <c r="D152" s="5" t="inlineStr">
        <is>
          <t>abrir</t>
        </is>
      </c>
      <c r="E152" s="3" t="n"/>
      <c r="F152" s="3" t="n"/>
      <c r="G152" s="6" t="n"/>
      <c r="H152" s="7">
        <f>"Oi, pessoal da "&amp;B152&amp;"! Tudo bem? 🍔"&amp;CHAR(10)&amp;"Aqui é o "&amp;'Como usar'!$C$4&amp;". Ajudo hamburgueria a vender mais pelo próprio WhatsApp, sem taxa de app."&amp;CHAR(10)&amp;CHAR(10)&amp;IF(F152="","Fiz uma conta rápida: a cada 100 lanches de R$ 35 vendidos no iFood, uns R$ "&amp;ROUND(IF(G152="",35,G152)*100*0.152,-1)&amp;" ficam de taxa.","Fiz uma conta com o "&amp;F152&amp;" de vocês: a cada 100 vendidos no iFood, uns R$ "&amp;ROUND(IF(G152="",35,G152)*100*0.152,-1)&amp;"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"&amp;B152&amp;", de graça, pra vocês verem funcionando. Posso fazer?"</f>
        <v/>
      </c>
      <c r="I152" s="3" t="inlineStr">
        <is>
          <t>A contatar</t>
        </is>
      </c>
      <c r="J152" s="3" t="n"/>
    </row>
    <row r="153" ht="150" customHeight="1">
      <c r="A153" s="2" t="n">
        <v>152</v>
      </c>
      <c r="B153" s="3" t="inlineStr">
        <is>
          <t>Floripa Porções &amp; Lanches</t>
        </is>
      </c>
      <c r="C153" s="4" t="inlineStr">
        <is>
          <t>Florianópolis/SC</t>
        </is>
      </c>
      <c r="D153" s="5" t="inlineStr">
        <is>
          <t>abrir</t>
        </is>
      </c>
      <c r="E153" s="3" t="n"/>
      <c r="F153" s="3" t="n"/>
      <c r="G153" s="6" t="n"/>
      <c r="H153" s="7">
        <f>"Oi, pessoal da "&amp;B153&amp;"! Tudo bem? 🍔"&amp;CHAR(10)&amp;"Aqui é o "&amp;'Como usar'!$C$4&amp;". Ajudo hamburgueria a vender mais pelo próprio WhatsApp, sem taxa de app."&amp;CHAR(10)&amp;CHAR(10)&amp;IF(F153="","Fiz uma conta rápida: a cada 100 lanches de R$ 35 vendidos no iFood, uns R$ "&amp;ROUND(IF(G153="",35,G153)*100*0.152,-1)&amp;" ficam de taxa.","Fiz uma conta com o "&amp;F153&amp;" de vocês: a cada 100 vendidos no iFood, uns R$ "&amp;ROUND(IF(G153="",35,G153)*100*0.152,-1)&amp;"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"&amp;B153&amp;", de graça, pra vocês verem funcionando. Posso fazer?"</f>
        <v/>
      </c>
      <c r="I153" s="3" t="inlineStr">
        <is>
          <t>A contatar</t>
        </is>
      </c>
      <c r="J153" s="3" t="n"/>
    </row>
    <row r="154" ht="150" customHeight="1">
      <c r="A154" s="2" t="n">
        <v>153</v>
      </c>
      <c r="B154" s="3" t="inlineStr">
        <is>
          <t>Smash Beef Burger</t>
        </is>
      </c>
      <c r="C154" s="4" t="inlineStr">
        <is>
          <t>Florianópolis/SC</t>
        </is>
      </c>
      <c r="D154" s="5" t="inlineStr">
        <is>
          <t>abrir</t>
        </is>
      </c>
      <c r="E154" s="3" t="n"/>
      <c r="F154" s="3" t="n"/>
      <c r="G154" s="6" t="n"/>
      <c r="H154" s="7">
        <f>"Oi, pessoal da "&amp;B154&amp;"! Tudo bem? 🍔"&amp;CHAR(10)&amp;"Aqui é o "&amp;'Como usar'!$C$4&amp;". Ajudo hamburgueria a vender mais pelo próprio WhatsApp, sem taxa de app."&amp;CHAR(10)&amp;CHAR(10)&amp;IF(F154="","Fiz uma conta rápida: a cada 100 lanches de R$ 35 vendidos no iFood, uns R$ "&amp;ROUND(IF(G154="",35,G154)*100*0.152,-1)&amp;" ficam de taxa.","Fiz uma conta com o "&amp;F154&amp;" de vocês: a cada 100 vendidos no iFood, uns R$ "&amp;ROUND(IF(G154="",35,G154)*100*0.152,-1)&amp;"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"&amp;B154&amp;", de graça, pra vocês verem funcionando. Posso fazer?"</f>
        <v/>
      </c>
      <c r="I154" s="3" t="inlineStr">
        <is>
          <t>A contatar</t>
        </is>
      </c>
      <c r="J154" s="3" t="n"/>
    </row>
    <row r="155" ht="150" customHeight="1">
      <c r="A155" s="2" t="n">
        <v>154</v>
      </c>
      <c r="B155" s="3" t="inlineStr">
        <is>
          <t>Smash King</t>
        </is>
      </c>
      <c r="C155" s="4" t="inlineStr">
        <is>
          <t>Florianópolis/SC</t>
        </is>
      </c>
      <c r="D155" s="5" t="inlineStr">
        <is>
          <t>abrir</t>
        </is>
      </c>
      <c r="E155" s="3" t="n"/>
      <c r="F155" s="3" t="n"/>
      <c r="G155" s="6" t="n"/>
      <c r="H155" s="7">
        <f>"Oi, pessoal da "&amp;B155&amp;"! Tudo bem? 🍔"&amp;CHAR(10)&amp;"Aqui é o "&amp;'Como usar'!$C$4&amp;". Ajudo hamburgueria a vender mais pelo próprio WhatsApp, sem taxa de app."&amp;CHAR(10)&amp;CHAR(10)&amp;IF(F155="","Fiz uma conta rápida: a cada 100 lanches de R$ 35 vendidos no iFood, uns R$ "&amp;ROUND(IF(G155="",35,G155)*100*0.152,-1)&amp;" ficam de taxa.","Fiz uma conta com o "&amp;F155&amp;" de vocês: a cada 100 vendidos no iFood, uns R$ "&amp;ROUND(IF(G155="",35,G155)*100*0.152,-1)&amp;"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"&amp;B155&amp;", de graça, pra vocês verem funcionando. Posso fazer?"</f>
        <v/>
      </c>
      <c r="I155" s="3" t="inlineStr">
        <is>
          <t>A contatar</t>
        </is>
      </c>
      <c r="J155" s="3" t="n"/>
    </row>
    <row r="156" ht="150" customHeight="1">
      <c r="A156" s="2" t="n">
        <v>155</v>
      </c>
      <c r="B156" s="3" t="inlineStr">
        <is>
          <t>Tijuana Burger</t>
        </is>
      </c>
      <c r="C156" s="4" t="inlineStr">
        <is>
          <t>Florianópolis/SC</t>
        </is>
      </c>
      <c r="D156" s="5" t="inlineStr">
        <is>
          <t>abrir</t>
        </is>
      </c>
      <c r="E156" s="3" t="n"/>
      <c r="F156" s="3" t="n"/>
      <c r="G156" s="6" t="n"/>
      <c r="H156" s="7">
        <f>"Oi, pessoal da "&amp;B156&amp;"! Tudo bem? 🍔"&amp;CHAR(10)&amp;"Aqui é o "&amp;'Como usar'!$C$4&amp;". Ajudo hamburgueria a vender mais pelo próprio WhatsApp, sem taxa de app."&amp;CHAR(10)&amp;CHAR(10)&amp;IF(F156="","Fiz uma conta rápida: a cada 100 lanches de R$ 35 vendidos no iFood, uns R$ "&amp;ROUND(IF(G156="",35,G156)*100*0.152,-1)&amp;" ficam de taxa.","Fiz uma conta com o "&amp;F156&amp;" de vocês: a cada 100 vendidos no iFood, uns R$ "&amp;ROUND(IF(G156="",35,G156)*100*0.152,-1)&amp;"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"&amp;B156&amp;", de graça, pra vocês verem funcionando. Posso fazer?"</f>
        <v/>
      </c>
      <c r="I156" s="3" t="inlineStr">
        <is>
          <t>A contatar</t>
        </is>
      </c>
      <c r="J156" s="3" t="n"/>
    </row>
    <row r="157" ht="150" customHeight="1">
      <c r="A157" s="2" t="n">
        <v>156</v>
      </c>
      <c r="B157" s="3" t="inlineStr">
        <is>
          <t>Burger Craft Rustic Hamburgueria</t>
        </is>
      </c>
      <c r="C157" s="4" t="inlineStr">
        <is>
          <t>Joinville/SC</t>
        </is>
      </c>
      <c r="D157" s="5" t="inlineStr">
        <is>
          <t>abrir</t>
        </is>
      </c>
      <c r="E157" s="3" t="n"/>
      <c r="F157" s="3" t="n"/>
      <c r="G157" s="6" t="n"/>
      <c r="H157" s="7">
        <f>"Oi, pessoal da "&amp;B157&amp;"! Tudo bem? 🍔"&amp;CHAR(10)&amp;"Aqui é o "&amp;'Como usar'!$C$4&amp;". Ajudo hamburgueria a vender mais pelo próprio WhatsApp, sem taxa de app."&amp;CHAR(10)&amp;CHAR(10)&amp;IF(F157="","Fiz uma conta rápida: a cada 100 lanches de R$ 35 vendidos no iFood, uns R$ "&amp;ROUND(IF(G157="",35,G157)*100*0.152,-1)&amp;" ficam de taxa.","Fiz uma conta com o "&amp;F157&amp;" de vocês: a cada 100 vendidos no iFood, uns R$ "&amp;ROUND(IF(G157="",35,G157)*100*0.152,-1)&amp;"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"&amp;B157&amp;", de graça, pra vocês verem funcionando. Posso fazer?"</f>
        <v/>
      </c>
      <c r="I157" s="3" t="inlineStr">
        <is>
          <t>A contatar</t>
        </is>
      </c>
      <c r="J157" s="3" t="n"/>
    </row>
    <row r="158" ht="150" customHeight="1">
      <c r="A158" s="2" t="n">
        <v>157</v>
      </c>
      <c r="B158" s="3" t="inlineStr">
        <is>
          <t>Foca's Burger</t>
        </is>
      </c>
      <c r="C158" s="4" t="inlineStr">
        <is>
          <t>Joinville/SC</t>
        </is>
      </c>
      <c r="D158" s="5" t="inlineStr">
        <is>
          <t>abrir</t>
        </is>
      </c>
      <c r="E158" s="3" t="n"/>
      <c r="F158" s="3" t="n"/>
      <c r="G158" s="6" t="n"/>
      <c r="H158" s="7">
        <f>"Oi, pessoal da "&amp;B158&amp;"! Tudo bem? 🍔"&amp;CHAR(10)&amp;"Aqui é o "&amp;'Como usar'!$C$4&amp;". Ajudo hamburgueria a vender mais pelo próprio WhatsApp, sem taxa de app."&amp;CHAR(10)&amp;CHAR(10)&amp;IF(F158="","Fiz uma conta rápida: a cada 100 lanches de R$ 35 vendidos no iFood, uns R$ "&amp;ROUND(IF(G158="",35,G158)*100*0.152,-1)&amp;" ficam de taxa.","Fiz uma conta com o "&amp;F158&amp;" de vocês: a cada 100 vendidos no iFood, uns R$ "&amp;ROUND(IF(G158="",35,G158)*100*0.152,-1)&amp;"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"&amp;B158&amp;", de graça, pra vocês verem funcionando. Posso fazer?"</f>
        <v/>
      </c>
      <c r="I158" s="3" t="inlineStr">
        <is>
          <t>A contatar</t>
        </is>
      </c>
      <c r="J158" s="3" t="n"/>
    </row>
    <row r="159" ht="150" customHeight="1">
      <c r="A159" s="2" t="n">
        <v>158</v>
      </c>
      <c r="B159" s="3" t="inlineStr">
        <is>
          <t>Hamburgueria Buenos Delivery</t>
        </is>
      </c>
      <c r="C159" s="4" t="inlineStr">
        <is>
          <t>Joinville/SC</t>
        </is>
      </c>
      <c r="D159" s="5" t="inlineStr">
        <is>
          <t>abrir</t>
        </is>
      </c>
      <c r="E159" s="3" t="n"/>
      <c r="F159" s="3" t="n"/>
      <c r="G159" s="6" t="n"/>
      <c r="H159" s="7">
        <f>"Oi, pessoal da "&amp;B159&amp;"! Tudo bem? 🍔"&amp;CHAR(10)&amp;"Aqui é o "&amp;'Como usar'!$C$4&amp;". Ajudo hamburgueria a vender mais pelo próprio WhatsApp, sem taxa de app."&amp;CHAR(10)&amp;CHAR(10)&amp;IF(F159="","Fiz uma conta rápida: a cada 100 lanches de R$ 35 vendidos no iFood, uns R$ "&amp;ROUND(IF(G159="",35,G159)*100*0.152,-1)&amp;" ficam de taxa.","Fiz uma conta com o "&amp;F159&amp;" de vocês: a cada 100 vendidos no iFood, uns R$ "&amp;ROUND(IF(G159="",35,G159)*100*0.152,-1)&amp;"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"&amp;B159&amp;", de graça, pra vocês verem funcionando. Posso fazer?"</f>
        <v/>
      </c>
      <c r="I159" s="3" t="inlineStr">
        <is>
          <t>A contatar</t>
        </is>
      </c>
      <c r="J159" s="3" t="n"/>
    </row>
    <row r="160" ht="150" customHeight="1">
      <c r="A160" s="2" t="n">
        <v>159</v>
      </c>
      <c r="B160" s="3" t="inlineStr">
        <is>
          <t>Jhonny's Burgers</t>
        </is>
      </c>
      <c r="C160" s="4" t="inlineStr">
        <is>
          <t>Joinville/SC</t>
        </is>
      </c>
      <c r="D160" s="5" t="inlineStr">
        <is>
          <t>abrir</t>
        </is>
      </c>
      <c r="E160" s="3" t="n"/>
      <c r="F160" s="3" t="n"/>
      <c r="G160" s="6" t="n"/>
      <c r="H160" s="7">
        <f>"Oi, pessoal da "&amp;B160&amp;"! Tudo bem? 🍔"&amp;CHAR(10)&amp;"Aqui é o "&amp;'Como usar'!$C$4&amp;". Ajudo hamburgueria a vender mais pelo próprio WhatsApp, sem taxa de app."&amp;CHAR(10)&amp;CHAR(10)&amp;IF(F160="","Fiz uma conta rápida: a cada 100 lanches de R$ 35 vendidos no iFood, uns R$ "&amp;ROUND(IF(G160="",35,G160)*100*0.152,-1)&amp;" ficam de taxa.","Fiz uma conta com o "&amp;F160&amp;" de vocês: a cada 100 vendidos no iFood, uns R$ "&amp;ROUND(IF(G160="",35,G160)*100*0.152,-1)&amp;"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"&amp;B160&amp;", de graça, pra vocês verem funcionando. Posso fazer?"</f>
        <v/>
      </c>
      <c r="I160" s="3" t="inlineStr">
        <is>
          <t>A contatar</t>
        </is>
      </c>
      <c r="J160" s="3" t="n"/>
    </row>
    <row r="161" ht="150" customHeight="1">
      <c r="A161" s="2" t="n">
        <v>160</v>
      </c>
      <c r="B161" s="3" t="inlineStr">
        <is>
          <t>Nações Smash Burger</t>
        </is>
      </c>
      <c r="C161" s="4" t="inlineStr">
        <is>
          <t>Joinville/SC</t>
        </is>
      </c>
      <c r="D161" s="5" t="inlineStr">
        <is>
          <t>abrir</t>
        </is>
      </c>
      <c r="E161" s="3" t="n"/>
      <c r="F161" s="3" t="n"/>
      <c r="G161" s="6" t="n"/>
      <c r="H161" s="7">
        <f>"Oi, pessoal da "&amp;B161&amp;"! Tudo bem? 🍔"&amp;CHAR(10)&amp;"Aqui é o "&amp;'Como usar'!$C$4&amp;". Ajudo hamburgueria a vender mais pelo próprio WhatsApp, sem taxa de app."&amp;CHAR(10)&amp;CHAR(10)&amp;IF(F161="","Fiz uma conta rápida: a cada 100 lanches de R$ 35 vendidos no iFood, uns R$ "&amp;ROUND(IF(G161="",35,G161)*100*0.152,-1)&amp;" ficam de taxa.","Fiz uma conta com o "&amp;F161&amp;" de vocês: a cada 100 vendidos no iFood, uns R$ "&amp;ROUND(IF(G161="",35,G161)*100*0.152,-1)&amp;"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"&amp;B161&amp;", de graça, pra vocês verem funcionando. Posso fazer?"</f>
        <v/>
      </c>
      <c r="I161" s="3" t="inlineStr">
        <is>
          <t>A contatar</t>
        </is>
      </c>
      <c r="J161" s="3" t="n"/>
    </row>
    <row r="162" ht="150" customHeight="1">
      <c r="A162" s="2" t="n">
        <v>161</v>
      </c>
      <c r="B162" s="3" t="inlineStr">
        <is>
          <t>Saint Burger</t>
        </is>
      </c>
      <c r="C162" s="4" t="inlineStr">
        <is>
          <t>Joinville/SC</t>
        </is>
      </c>
      <c r="D162" s="5" t="inlineStr">
        <is>
          <t>abrir</t>
        </is>
      </c>
      <c r="E162" s="3" t="n"/>
      <c r="F162" s="3" t="n"/>
      <c r="G162" s="6" t="n"/>
      <c r="H162" s="7">
        <f>"Oi, pessoal da "&amp;B162&amp;"! Tudo bem? 🍔"&amp;CHAR(10)&amp;"Aqui é o "&amp;'Como usar'!$C$4&amp;". Ajudo hamburgueria a vender mais pelo próprio WhatsApp, sem taxa de app."&amp;CHAR(10)&amp;CHAR(10)&amp;IF(F162="","Fiz uma conta rápida: a cada 100 lanches de R$ 35 vendidos no iFood, uns R$ "&amp;ROUND(IF(G162="",35,G162)*100*0.152,-1)&amp;" ficam de taxa.","Fiz uma conta com o "&amp;F162&amp;" de vocês: a cada 100 vendidos no iFood, uns R$ "&amp;ROUND(IF(G162="",35,G162)*100*0.152,-1)&amp;"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"&amp;B162&amp;", de graça, pra vocês verem funcionando. Posso fazer?"</f>
        <v/>
      </c>
      <c r="I162" s="3" t="inlineStr">
        <is>
          <t>A contatar</t>
        </is>
      </c>
      <c r="J162" s="3" t="n"/>
    </row>
    <row r="163" ht="150" customHeight="1">
      <c r="A163" s="2" t="n">
        <v>162</v>
      </c>
      <c r="B163" s="3" t="inlineStr">
        <is>
          <t>Start Burger e Beer</t>
        </is>
      </c>
      <c r="C163" s="4" t="inlineStr">
        <is>
          <t>Joinville/SC</t>
        </is>
      </c>
      <c r="D163" s="5" t="inlineStr">
        <is>
          <t>abrir</t>
        </is>
      </c>
      <c r="E163" s="3" t="n"/>
      <c r="F163" s="3" t="n"/>
      <c r="G163" s="6" t="n"/>
      <c r="H163" s="7">
        <f>"Oi, pessoal da "&amp;B163&amp;"! Tudo bem? 🍔"&amp;CHAR(10)&amp;"Aqui é o "&amp;'Como usar'!$C$4&amp;". Ajudo hamburgueria a vender mais pelo próprio WhatsApp, sem taxa de app."&amp;CHAR(10)&amp;CHAR(10)&amp;IF(F163="","Fiz uma conta rápida: a cada 100 lanches de R$ 35 vendidos no iFood, uns R$ "&amp;ROUND(IF(G163="",35,G163)*100*0.152,-1)&amp;" ficam de taxa.","Fiz uma conta com o "&amp;F163&amp;" de vocês: a cada 100 vendidos no iFood, uns R$ "&amp;ROUND(IF(G163="",35,G163)*100*0.152,-1)&amp;"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"&amp;B163&amp;", de graça, pra vocês verem funcionando. Posso fazer?"</f>
        <v/>
      </c>
      <c r="I163" s="3" t="inlineStr">
        <is>
          <t>A contatar</t>
        </is>
      </c>
      <c r="J163" s="3" t="n"/>
    </row>
    <row r="164" ht="150" customHeight="1">
      <c r="A164" s="2" t="n">
        <v>163</v>
      </c>
      <c r="B164" s="3" t="inlineStr">
        <is>
          <t>Tom Burger</t>
        </is>
      </c>
      <c r="C164" s="4" t="inlineStr">
        <is>
          <t>Joinville/SC</t>
        </is>
      </c>
      <c r="D164" s="5" t="inlineStr">
        <is>
          <t>abrir</t>
        </is>
      </c>
      <c r="E164" s="3" t="n"/>
      <c r="F164" s="3" t="n"/>
      <c r="G164" s="6" t="n"/>
      <c r="H164" s="7">
        <f>"Oi, pessoal da "&amp;B164&amp;"! Tudo bem? 🍔"&amp;CHAR(10)&amp;"Aqui é o "&amp;'Como usar'!$C$4&amp;". Ajudo hamburgueria a vender mais pelo próprio WhatsApp, sem taxa de app."&amp;CHAR(10)&amp;CHAR(10)&amp;IF(F164="","Fiz uma conta rápida: a cada 100 lanches de R$ 35 vendidos no iFood, uns R$ "&amp;ROUND(IF(G164="",35,G164)*100*0.152,-1)&amp;" ficam de taxa.","Fiz uma conta com o "&amp;F164&amp;" de vocês: a cada 100 vendidos no iFood, uns R$ "&amp;ROUND(IF(G164="",35,G164)*100*0.152,-1)&amp;"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"&amp;B164&amp;", de graça, pra vocês verem funcionando. Posso fazer?"</f>
        <v/>
      </c>
      <c r="I164" s="3" t="inlineStr">
        <is>
          <t>A contatar</t>
        </is>
      </c>
      <c r="J164" s="3" t="n"/>
    </row>
    <row r="165" ht="150" customHeight="1">
      <c r="A165" s="2" t="n">
        <v>164</v>
      </c>
      <c r="B165" s="3" t="inlineStr">
        <is>
          <t>Carne de Panela Bagueteria &amp; Smash Burger</t>
        </is>
      </c>
      <c r="C165" s="4" t="inlineStr">
        <is>
          <t>São José/SC</t>
        </is>
      </c>
      <c r="D165" s="5" t="inlineStr">
        <is>
          <t>abrir</t>
        </is>
      </c>
      <c r="E165" s="3" t="n"/>
      <c r="F165" s="3" t="n"/>
      <c r="G165" s="6" t="n"/>
      <c r="H165" s="7">
        <f>"Oi, pessoal da "&amp;B165&amp;"! Tudo bem? 🍔"&amp;CHAR(10)&amp;"Aqui é o "&amp;'Como usar'!$C$4&amp;". Ajudo hamburgueria a vender mais pelo próprio WhatsApp, sem taxa de app."&amp;CHAR(10)&amp;CHAR(10)&amp;IF(F165="","Fiz uma conta rápida: a cada 100 lanches de R$ 35 vendidos no iFood, uns R$ "&amp;ROUND(IF(G165="",35,G165)*100*0.152,-1)&amp;" ficam de taxa.","Fiz uma conta com o "&amp;F165&amp;" de vocês: a cada 100 vendidos no iFood, uns R$ "&amp;ROUND(IF(G165="",35,G165)*100*0.152,-1)&amp;"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"&amp;B165&amp;", de graça, pra vocês verem funcionando. Posso fazer?"</f>
        <v/>
      </c>
      <c r="I165" s="3" t="inlineStr">
        <is>
          <t>A contatar</t>
        </is>
      </c>
      <c r="J165" s="3" t="n"/>
    </row>
    <row r="166" ht="150" customHeight="1">
      <c r="A166" s="2" t="n">
        <v>165</v>
      </c>
      <c r="B166" s="3" t="inlineStr">
        <is>
          <t>iBurger Hamburgueria</t>
        </is>
      </c>
      <c r="C166" s="4" t="inlineStr">
        <is>
          <t>Tijucas/SC</t>
        </is>
      </c>
      <c r="D166" s="5" t="inlineStr">
        <is>
          <t>abrir</t>
        </is>
      </c>
      <c r="E166" s="3" t="n"/>
      <c r="F166" s="3" t="n"/>
      <c r="G166" s="6" t="n"/>
      <c r="H166" s="7">
        <f>"Oi, pessoal da "&amp;B166&amp;"! Tudo bem? 🍔"&amp;CHAR(10)&amp;"Aqui é o "&amp;'Como usar'!$C$4&amp;". Ajudo hamburgueria a vender mais pelo próprio WhatsApp, sem taxa de app."&amp;CHAR(10)&amp;CHAR(10)&amp;IF(F166="","Fiz uma conta rápida: a cada 100 lanches de R$ 35 vendidos no iFood, uns R$ "&amp;ROUND(IF(G166="",35,G166)*100*0.152,-1)&amp;" ficam de taxa.","Fiz uma conta com o "&amp;F166&amp;" de vocês: a cada 100 vendidos no iFood, uns R$ "&amp;ROUND(IF(G166="",35,G166)*100*0.152,-1)&amp;"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"&amp;B166&amp;", de graça, pra vocês verem funcionando. Posso fazer?"</f>
        <v/>
      </c>
      <c r="I166" s="3" t="inlineStr">
        <is>
          <t>A contatar</t>
        </is>
      </c>
      <c r="J166" s="3" t="n"/>
    </row>
    <row r="167" ht="150" customHeight="1">
      <c r="A167" s="2" t="n">
        <v>166</v>
      </c>
      <c r="B167" s="3" t="inlineStr">
        <is>
          <t>Blend Burger Circus Foodpark</t>
        </is>
      </c>
      <c r="C167" s="4" t="inlineStr">
        <is>
          <t>Aracaju/SE</t>
        </is>
      </c>
      <c r="D167" s="5" t="inlineStr">
        <is>
          <t>abrir</t>
        </is>
      </c>
      <c r="E167" s="3" t="n"/>
      <c r="F167" s="3" t="n"/>
      <c r="G167" s="6" t="n"/>
      <c r="H167" s="7">
        <f>"Oi, pessoal da "&amp;B167&amp;"! Tudo bem? 🍔"&amp;CHAR(10)&amp;"Aqui é o "&amp;'Como usar'!$C$4&amp;". Ajudo hamburgueria a vender mais pelo próprio WhatsApp, sem taxa de app."&amp;CHAR(10)&amp;CHAR(10)&amp;IF(F167="","Fiz uma conta rápida: a cada 100 lanches de R$ 35 vendidos no iFood, uns R$ "&amp;ROUND(IF(G167="",35,G167)*100*0.152,-1)&amp;" ficam de taxa.","Fiz uma conta com o "&amp;F167&amp;" de vocês: a cada 100 vendidos no iFood, uns R$ "&amp;ROUND(IF(G167="",35,G167)*100*0.152,-1)&amp;"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"&amp;B167&amp;", de graça, pra vocês verem funcionando. Posso fazer?"</f>
        <v/>
      </c>
      <c r="I167" s="3" t="inlineStr">
        <is>
          <t>A contatar</t>
        </is>
      </c>
      <c r="J167" s="3" t="n"/>
    </row>
    <row r="168" ht="150" customHeight="1">
      <c r="A168" s="2" t="n">
        <v>167</v>
      </c>
      <c r="B168" s="3" t="inlineStr">
        <is>
          <t>Burger &amp; Cia Gourmet</t>
        </is>
      </c>
      <c r="C168" s="4" t="inlineStr">
        <is>
          <t>Aracaju/SE</t>
        </is>
      </c>
      <c r="D168" s="5" t="inlineStr">
        <is>
          <t>abrir</t>
        </is>
      </c>
      <c r="E168" s="3" t="n"/>
      <c r="F168" s="3" t="n"/>
      <c r="G168" s="6" t="n"/>
      <c r="H168" s="7">
        <f>"Oi, pessoal da "&amp;B168&amp;"! Tudo bem? 🍔"&amp;CHAR(10)&amp;"Aqui é o "&amp;'Como usar'!$C$4&amp;". Ajudo hamburgueria a vender mais pelo próprio WhatsApp, sem taxa de app."&amp;CHAR(10)&amp;CHAR(10)&amp;IF(F168="","Fiz uma conta rápida: a cada 100 lanches de R$ 35 vendidos no iFood, uns R$ "&amp;ROUND(IF(G168="",35,G168)*100*0.152,-1)&amp;" ficam de taxa.","Fiz uma conta com o "&amp;F168&amp;" de vocês: a cada 100 vendidos no iFood, uns R$ "&amp;ROUND(IF(G168="",35,G168)*100*0.152,-1)&amp;"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"&amp;B168&amp;", de graça, pra vocês verem funcionando. Posso fazer?"</f>
        <v/>
      </c>
      <c r="I168" s="3" t="inlineStr">
        <is>
          <t>A contatar</t>
        </is>
      </c>
      <c r="J168" s="3" t="n"/>
    </row>
    <row r="169" ht="150" customHeight="1">
      <c r="A169" s="2" t="n">
        <v>168</v>
      </c>
      <c r="B169" s="3" t="inlineStr">
        <is>
          <t>Churras Burguer</t>
        </is>
      </c>
      <c r="C169" s="4" t="inlineStr">
        <is>
          <t>Aracaju/SE</t>
        </is>
      </c>
      <c r="D169" s="5" t="inlineStr">
        <is>
          <t>abrir</t>
        </is>
      </c>
      <c r="E169" s="3" t="n"/>
      <c r="F169" s="3" t="n"/>
      <c r="G169" s="6" t="n"/>
      <c r="H169" s="7">
        <f>"Oi, pessoal da "&amp;B169&amp;"! Tudo bem? 🍔"&amp;CHAR(10)&amp;"Aqui é o "&amp;'Como usar'!$C$4&amp;". Ajudo hamburgueria a vender mais pelo próprio WhatsApp, sem taxa de app."&amp;CHAR(10)&amp;CHAR(10)&amp;IF(F169="","Fiz uma conta rápida: a cada 100 lanches de R$ 35 vendidos no iFood, uns R$ "&amp;ROUND(IF(G169="",35,G169)*100*0.152,-1)&amp;" ficam de taxa.","Fiz uma conta com o "&amp;F169&amp;" de vocês: a cada 100 vendidos no iFood, uns R$ "&amp;ROUND(IF(G169="",35,G169)*100*0.152,-1)&amp;"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"&amp;B169&amp;", de graça, pra vocês verem funcionando. Posso fazer?"</f>
        <v/>
      </c>
      <c r="I169" s="3" t="inlineStr">
        <is>
          <t>A contatar</t>
        </is>
      </c>
      <c r="J169" s="3" t="n"/>
    </row>
    <row r="170" ht="150" customHeight="1">
      <c r="A170" s="2" t="n">
        <v>169</v>
      </c>
      <c r="B170" s="3" t="inlineStr">
        <is>
          <t>Hamburgueria Brothers Burguer</t>
        </is>
      </c>
      <c r="C170" s="4" t="inlineStr">
        <is>
          <t>Aracaju/SE</t>
        </is>
      </c>
      <c r="D170" s="5" t="inlineStr">
        <is>
          <t>abrir</t>
        </is>
      </c>
      <c r="E170" s="3" t="n"/>
      <c r="F170" s="3" t="n"/>
      <c r="G170" s="6" t="n"/>
      <c r="H170" s="7">
        <f>"Oi, pessoal da "&amp;B170&amp;"! Tudo bem? 🍔"&amp;CHAR(10)&amp;"Aqui é o "&amp;'Como usar'!$C$4&amp;". Ajudo hamburgueria a vender mais pelo próprio WhatsApp, sem taxa de app."&amp;CHAR(10)&amp;CHAR(10)&amp;IF(F170="","Fiz uma conta rápida: a cada 100 lanches de R$ 35 vendidos no iFood, uns R$ "&amp;ROUND(IF(G170="",35,G170)*100*0.152,-1)&amp;" ficam de taxa.","Fiz uma conta com o "&amp;F170&amp;" de vocês: a cada 100 vendidos no iFood, uns R$ "&amp;ROUND(IF(G170="",35,G170)*100*0.152,-1)&amp;"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"&amp;B170&amp;", de graça, pra vocês verem funcionando. Posso fazer?"</f>
        <v/>
      </c>
      <c r="I170" s="3" t="inlineStr">
        <is>
          <t>A contatar</t>
        </is>
      </c>
      <c r="J170" s="3" t="n"/>
    </row>
    <row r="171" ht="150" customHeight="1">
      <c r="A171" s="2" t="n">
        <v>170</v>
      </c>
      <c r="B171" s="3" t="inlineStr">
        <is>
          <t>Hamburgueria Scape Burger</t>
        </is>
      </c>
      <c r="C171" s="4" t="inlineStr">
        <is>
          <t>Aracaju/SE</t>
        </is>
      </c>
      <c r="D171" s="5" t="inlineStr">
        <is>
          <t>abrir</t>
        </is>
      </c>
      <c r="E171" s="3" t="n"/>
      <c r="F171" s="3" t="n"/>
      <c r="G171" s="6" t="n"/>
      <c r="H171" s="7">
        <f>"Oi, pessoal da "&amp;B171&amp;"! Tudo bem? 🍔"&amp;CHAR(10)&amp;"Aqui é o "&amp;'Como usar'!$C$4&amp;". Ajudo hamburgueria a vender mais pelo próprio WhatsApp, sem taxa de app."&amp;CHAR(10)&amp;CHAR(10)&amp;IF(F171="","Fiz uma conta rápida: a cada 100 lanches de R$ 35 vendidos no iFood, uns R$ "&amp;ROUND(IF(G171="",35,G171)*100*0.152,-1)&amp;" ficam de taxa.","Fiz uma conta com o "&amp;F171&amp;" de vocês: a cada 100 vendidos no iFood, uns R$ "&amp;ROUND(IF(G171="",35,G171)*100*0.152,-1)&amp;"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"&amp;B171&amp;", de graça, pra vocês verem funcionando. Posso fazer?"</f>
        <v/>
      </c>
      <c r="I171" s="3" t="inlineStr">
        <is>
          <t>A contatar</t>
        </is>
      </c>
      <c r="J171" s="3" t="n"/>
    </row>
    <row r="172" ht="150" customHeight="1">
      <c r="A172" s="2" t="n">
        <v>171</v>
      </c>
      <c r="B172" s="3" t="inlineStr">
        <is>
          <t>Revo Burger</t>
        </is>
      </c>
      <c r="C172" s="4" t="inlineStr">
        <is>
          <t>Aracaju/SE</t>
        </is>
      </c>
      <c r="D172" s="5" t="inlineStr">
        <is>
          <t>abrir</t>
        </is>
      </c>
      <c r="E172" s="3" t="n"/>
      <c r="F172" s="3" t="n"/>
      <c r="G172" s="6" t="n"/>
      <c r="H172" s="7">
        <f>"Oi, pessoal da "&amp;B172&amp;"! Tudo bem? 🍔"&amp;CHAR(10)&amp;"Aqui é o "&amp;'Como usar'!$C$4&amp;". Ajudo hamburgueria a vender mais pelo próprio WhatsApp, sem taxa de app."&amp;CHAR(10)&amp;CHAR(10)&amp;IF(F172="","Fiz uma conta rápida: a cada 100 lanches de R$ 35 vendidos no iFood, uns R$ "&amp;ROUND(IF(G172="",35,G172)*100*0.152,-1)&amp;" ficam de taxa.","Fiz uma conta com o "&amp;F172&amp;" de vocês: a cada 100 vendidos no iFood, uns R$ "&amp;ROUND(IF(G172="",35,G172)*100*0.152,-1)&amp;"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"&amp;B172&amp;", de graça, pra vocês verem funcionando. Posso fazer?"</f>
        <v/>
      </c>
      <c r="I172" s="3" t="inlineStr">
        <is>
          <t>A contatar</t>
        </is>
      </c>
      <c r="J172" s="3" t="n"/>
    </row>
    <row r="173" ht="150" customHeight="1">
      <c r="A173" s="2" t="n">
        <v>172</v>
      </c>
      <c r="B173" s="3" t="inlineStr">
        <is>
          <t>The Sandwich</t>
        </is>
      </c>
      <c r="C173" s="4" t="inlineStr">
        <is>
          <t>Aracaju/SE</t>
        </is>
      </c>
      <c r="D173" s="5" t="inlineStr">
        <is>
          <t>abrir</t>
        </is>
      </c>
      <c r="E173" s="3" t="n"/>
      <c r="F173" s="3" t="n"/>
      <c r="G173" s="6" t="n"/>
      <c r="H173" s="7">
        <f>"Oi, pessoal da "&amp;B173&amp;"! Tudo bem? 🍔"&amp;CHAR(10)&amp;"Aqui é o "&amp;'Como usar'!$C$4&amp;". Ajudo hamburgueria a vender mais pelo próprio WhatsApp, sem taxa de app."&amp;CHAR(10)&amp;CHAR(10)&amp;IF(F173="","Fiz uma conta rápida: a cada 100 lanches de R$ 35 vendidos no iFood, uns R$ "&amp;ROUND(IF(G173="",35,G173)*100*0.152,-1)&amp;" ficam de taxa.","Fiz uma conta com o "&amp;F173&amp;" de vocês: a cada 100 vendidos no iFood, uns R$ "&amp;ROUND(IF(G173="",35,G173)*100*0.152,-1)&amp;"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"&amp;B173&amp;", de graça, pra vocês verem funcionando. Posso fazer?"</f>
        <v/>
      </c>
      <c r="I173" s="3" t="inlineStr">
        <is>
          <t>A contatar</t>
        </is>
      </c>
      <c r="J173" s="3" t="n"/>
    </row>
    <row r="174" ht="150" customHeight="1">
      <c r="A174" s="2" t="n">
        <v>173</v>
      </c>
      <c r="B174" s="3" t="inlineStr">
        <is>
          <t>Hamburgueria Apê Burguer</t>
        </is>
      </c>
      <c r="C174" s="4" t="inlineStr">
        <is>
          <t>Araras/SP</t>
        </is>
      </c>
      <c r="D174" s="5" t="inlineStr">
        <is>
          <t>abrir</t>
        </is>
      </c>
      <c r="E174" s="3" t="n"/>
      <c r="F174" s="3" t="n"/>
      <c r="G174" s="6" t="n"/>
      <c r="H174" s="7">
        <f>"Oi, pessoal da "&amp;B174&amp;"! Tudo bem? 🍔"&amp;CHAR(10)&amp;"Aqui é o "&amp;'Como usar'!$C$4&amp;". Ajudo hamburgueria a vender mais pelo próprio WhatsApp, sem taxa de app."&amp;CHAR(10)&amp;CHAR(10)&amp;IF(F174="","Fiz uma conta rápida: a cada 100 lanches de R$ 35 vendidos no iFood, uns R$ "&amp;ROUND(IF(G174="",35,G174)*100*0.152,-1)&amp;" ficam de taxa.","Fiz uma conta com o "&amp;F174&amp;" de vocês: a cada 100 vendidos no iFood, uns R$ "&amp;ROUND(IF(G174="",35,G174)*100*0.152,-1)&amp;"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"&amp;B174&amp;", de graça, pra vocês verem funcionando. Posso fazer?"</f>
        <v/>
      </c>
      <c r="I174" s="3" t="inlineStr">
        <is>
          <t>A contatar</t>
        </is>
      </c>
      <c r="J174" s="3" t="n"/>
    </row>
    <row r="175" ht="150" customHeight="1">
      <c r="A175" s="2" t="n">
        <v>174</v>
      </c>
      <c r="B175" s="3" t="inlineStr">
        <is>
          <t>Butcher Super Smash</t>
        </is>
      </c>
      <c r="C175" s="4" t="inlineStr">
        <is>
          <t>Campinas/SP</t>
        </is>
      </c>
      <c r="D175" s="5" t="inlineStr">
        <is>
          <t>abrir</t>
        </is>
      </c>
      <c r="E175" s="3" t="n"/>
      <c r="F175" s="3" t="n"/>
      <c r="G175" s="6" t="n"/>
      <c r="H175" s="7">
        <f>"Oi, pessoal da "&amp;B175&amp;"! Tudo bem? 🍔"&amp;CHAR(10)&amp;"Aqui é o "&amp;'Como usar'!$C$4&amp;". Ajudo hamburgueria a vender mais pelo próprio WhatsApp, sem taxa de app."&amp;CHAR(10)&amp;CHAR(10)&amp;IF(F175="","Fiz uma conta rápida: a cada 100 lanches de R$ 35 vendidos no iFood, uns R$ "&amp;ROUND(IF(G175="",35,G175)*100*0.152,-1)&amp;" ficam de taxa.","Fiz uma conta com o "&amp;F175&amp;" de vocês: a cada 100 vendidos no iFood, uns R$ "&amp;ROUND(IF(G175="",35,G175)*100*0.152,-1)&amp;"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"&amp;B175&amp;", de graça, pra vocês verem funcionando. Posso fazer?"</f>
        <v/>
      </c>
      <c r="I175" s="3" t="inlineStr">
        <is>
          <t>A contatar</t>
        </is>
      </c>
      <c r="J175" s="3" t="n"/>
    </row>
    <row r="176" ht="150" customHeight="1">
      <c r="A176" s="2" t="n">
        <v>175</v>
      </c>
      <c r="B176" s="3" t="inlineStr">
        <is>
          <t>Cunhados Burger</t>
        </is>
      </c>
      <c r="C176" s="4" t="inlineStr">
        <is>
          <t>Campinas/SP</t>
        </is>
      </c>
      <c r="D176" s="5" t="inlineStr">
        <is>
          <t>abrir</t>
        </is>
      </c>
      <c r="E176" s="3" t="n"/>
      <c r="F176" s="3" t="n"/>
      <c r="G176" s="6" t="n"/>
      <c r="H176" s="7">
        <f>"Oi, pessoal da "&amp;B176&amp;"! Tudo bem? 🍔"&amp;CHAR(10)&amp;"Aqui é o "&amp;'Como usar'!$C$4&amp;". Ajudo hamburgueria a vender mais pelo próprio WhatsApp, sem taxa de app."&amp;CHAR(10)&amp;CHAR(10)&amp;IF(F176="","Fiz uma conta rápida: a cada 100 lanches de R$ 35 vendidos no iFood, uns R$ "&amp;ROUND(IF(G176="",35,G176)*100*0.152,-1)&amp;" ficam de taxa.","Fiz uma conta com o "&amp;F176&amp;" de vocês: a cada 100 vendidos no iFood, uns R$ "&amp;ROUND(IF(G176="",35,G176)*100*0.152,-1)&amp;"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"&amp;B176&amp;", de graça, pra vocês verem funcionando. Posso fazer?"</f>
        <v/>
      </c>
      <c r="I176" s="3" t="inlineStr">
        <is>
          <t>A contatar</t>
        </is>
      </c>
      <c r="J176" s="3" t="n"/>
    </row>
    <row r="177" ht="150" customHeight="1">
      <c r="A177" s="2" t="n">
        <v>176</v>
      </c>
      <c r="B177" s="3" t="inlineStr">
        <is>
          <t>Hamburgueria Mirantes Burger</t>
        </is>
      </c>
      <c r="C177" s="4" t="inlineStr">
        <is>
          <t>Campinas/SP</t>
        </is>
      </c>
      <c r="D177" s="5" t="inlineStr">
        <is>
          <t>abrir</t>
        </is>
      </c>
      <c r="E177" s="3" t="n"/>
      <c r="F177" s="3" t="n"/>
      <c r="G177" s="6" t="n"/>
      <c r="H177" s="7">
        <f>"Oi, pessoal da "&amp;B177&amp;"! Tudo bem? 🍔"&amp;CHAR(10)&amp;"Aqui é o "&amp;'Como usar'!$C$4&amp;". Ajudo hamburgueria a vender mais pelo próprio WhatsApp, sem taxa de app."&amp;CHAR(10)&amp;CHAR(10)&amp;IF(F177="","Fiz uma conta rápida: a cada 100 lanches de R$ 35 vendidos no iFood, uns R$ "&amp;ROUND(IF(G177="",35,G177)*100*0.152,-1)&amp;" ficam de taxa.","Fiz uma conta com o "&amp;F177&amp;" de vocês: a cada 100 vendidos no iFood, uns R$ "&amp;ROUND(IF(G177="",35,G177)*100*0.152,-1)&amp;"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"&amp;B177&amp;", de graça, pra vocês verem funcionando. Posso fazer?"</f>
        <v/>
      </c>
      <c r="I177" s="3" t="inlineStr">
        <is>
          <t>A contatar</t>
        </is>
      </c>
      <c r="J177" s="3" t="n"/>
    </row>
    <row r="178" ht="150" customHeight="1">
      <c r="A178" s="2" t="n">
        <v>177</v>
      </c>
      <c r="B178" s="3" t="inlineStr">
        <is>
          <t>Hamburgueria Tosco Garage</t>
        </is>
      </c>
      <c r="C178" s="4" t="inlineStr">
        <is>
          <t>Campinas/SP</t>
        </is>
      </c>
      <c r="D178" s="5" t="inlineStr">
        <is>
          <t>abrir</t>
        </is>
      </c>
      <c r="E178" s="3" t="n"/>
      <c r="F178" s="3" t="n"/>
      <c r="G178" s="6" t="n"/>
      <c r="H178" s="7">
        <f>"Oi, pessoal da "&amp;B178&amp;"! Tudo bem? 🍔"&amp;CHAR(10)&amp;"Aqui é o "&amp;'Como usar'!$C$4&amp;". Ajudo hamburgueria a vender mais pelo próprio WhatsApp, sem taxa de app."&amp;CHAR(10)&amp;CHAR(10)&amp;IF(F178="","Fiz uma conta rápida: a cada 100 lanches de R$ 35 vendidos no iFood, uns R$ "&amp;ROUND(IF(G178="",35,G178)*100*0.152,-1)&amp;" ficam de taxa.","Fiz uma conta com o "&amp;F178&amp;" de vocês: a cada 100 vendidos no iFood, uns R$ "&amp;ROUND(IF(G178="",35,G178)*100*0.152,-1)&amp;"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"&amp;B178&amp;", de graça, pra vocês verem funcionando. Posso fazer?"</f>
        <v/>
      </c>
      <c r="I178" s="3" t="inlineStr">
        <is>
          <t>A contatar</t>
        </is>
      </c>
      <c r="J178" s="3" t="n"/>
    </row>
    <row r="179" ht="150" customHeight="1">
      <c r="A179" s="2" t="n">
        <v>178</v>
      </c>
      <c r="B179" s="3" t="inlineStr">
        <is>
          <t>Mister Chapa Burger e Smash</t>
        </is>
      </c>
      <c r="C179" s="4" t="inlineStr">
        <is>
          <t>Campinas/SP</t>
        </is>
      </c>
      <c r="D179" s="5" t="inlineStr">
        <is>
          <t>abrir</t>
        </is>
      </c>
      <c r="E179" s="3" t="n"/>
      <c r="F179" s="3" t="n"/>
      <c r="G179" s="6" t="n"/>
      <c r="H179" s="7">
        <f>"Oi, pessoal da "&amp;B179&amp;"! Tudo bem? 🍔"&amp;CHAR(10)&amp;"Aqui é o "&amp;'Como usar'!$C$4&amp;". Ajudo hamburgueria a vender mais pelo próprio WhatsApp, sem taxa de app."&amp;CHAR(10)&amp;CHAR(10)&amp;IF(F179="","Fiz uma conta rápida: a cada 100 lanches de R$ 35 vendidos no iFood, uns R$ "&amp;ROUND(IF(G179="",35,G179)*100*0.152,-1)&amp;" ficam de taxa.","Fiz uma conta com o "&amp;F179&amp;" de vocês: a cada 100 vendidos no iFood, uns R$ "&amp;ROUND(IF(G179="",35,G179)*100*0.152,-1)&amp;"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"&amp;B179&amp;", de graça, pra vocês verem funcionando. Posso fazer?"</f>
        <v/>
      </c>
      <c r="I179" s="3" t="inlineStr">
        <is>
          <t>A contatar</t>
        </is>
      </c>
      <c r="J179" s="3" t="n"/>
    </row>
    <row r="180" ht="150" customHeight="1">
      <c r="A180" s="2" t="n">
        <v>179</v>
      </c>
      <c r="B180" s="3" t="inlineStr">
        <is>
          <t>Smash B. Burger</t>
        </is>
      </c>
      <c r="C180" s="4" t="inlineStr">
        <is>
          <t>Campinas/SP</t>
        </is>
      </c>
      <c r="D180" s="5" t="inlineStr">
        <is>
          <t>abrir</t>
        </is>
      </c>
      <c r="E180" s="3" t="n"/>
      <c r="F180" s="3" t="n"/>
      <c r="G180" s="6" t="n"/>
      <c r="H180" s="7">
        <f>"Oi, pessoal da "&amp;B180&amp;"! Tudo bem? 🍔"&amp;CHAR(10)&amp;"Aqui é o "&amp;'Como usar'!$C$4&amp;". Ajudo hamburgueria a vender mais pelo próprio WhatsApp, sem taxa de app."&amp;CHAR(10)&amp;CHAR(10)&amp;IF(F180="","Fiz uma conta rápida: a cada 100 lanches de R$ 35 vendidos no iFood, uns R$ "&amp;ROUND(IF(G180="",35,G180)*100*0.152,-1)&amp;" ficam de taxa.","Fiz uma conta com o "&amp;F180&amp;" de vocês: a cada 100 vendidos no iFood, uns R$ "&amp;ROUND(IF(G180="",35,G180)*100*0.152,-1)&amp;"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"&amp;B180&amp;", de graça, pra vocês verem funcionando. Posso fazer?"</f>
        <v/>
      </c>
      <c r="I180" s="3" t="inlineStr">
        <is>
          <t>A contatar</t>
        </is>
      </c>
      <c r="J180" s="3" t="n"/>
    </row>
    <row r="181" ht="150" customHeight="1">
      <c r="A181" s="2" t="n">
        <v>180</v>
      </c>
      <c r="B181" s="3" t="inlineStr">
        <is>
          <t>Smash Boss Hamburgueria</t>
        </is>
      </c>
      <c r="C181" s="4" t="inlineStr">
        <is>
          <t>Campinas/SP</t>
        </is>
      </c>
      <c r="D181" s="5" t="inlineStr">
        <is>
          <t>abrir</t>
        </is>
      </c>
      <c r="E181" s="3" t="n"/>
      <c r="F181" s="3" t="n"/>
      <c r="G181" s="6" t="n"/>
      <c r="H181" s="7">
        <f>"Oi, pessoal da "&amp;B181&amp;"! Tudo bem? 🍔"&amp;CHAR(10)&amp;"Aqui é o "&amp;'Como usar'!$C$4&amp;". Ajudo hamburgueria a vender mais pelo próprio WhatsApp, sem taxa de app."&amp;CHAR(10)&amp;CHAR(10)&amp;IF(F181="","Fiz uma conta rápida: a cada 100 lanches de R$ 35 vendidos no iFood, uns R$ "&amp;ROUND(IF(G181="",35,G181)*100*0.152,-1)&amp;" ficam de taxa.","Fiz uma conta com o "&amp;F181&amp;" de vocês: a cada 100 vendidos no iFood, uns R$ "&amp;ROUND(IF(G181="",35,G181)*100*0.152,-1)&amp;"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"&amp;B181&amp;", de graça, pra vocês verem funcionando. Posso fazer?"</f>
        <v/>
      </c>
      <c r="I181" s="3" t="inlineStr">
        <is>
          <t>A contatar</t>
        </is>
      </c>
      <c r="J181" s="3" t="n"/>
    </row>
    <row r="182" ht="150" customHeight="1">
      <c r="A182" s="2" t="n">
        <v>181</v>
      </c>
      <c r="B182" s="3" t="inlineStr">
        <is>
          <t>Tesla Smash Burger</t>
        </is>
      </c>
      <c r="C182" s="4" t="inlineStr">
        <is>
          <t>Campinas/SP</t>
        </is>
      </c>
      <c r="D182" s="5" t="inlineStr">
        <is>
          <t>abrir</t>
        </is>
      </c>
      <c r="E182" s="3" t="n"/>
      <c r="F182" s="3" t="n"/>
      <c r="G182" s="6" t="n"/>
      <c r="H182" s="7">
        <f>"Oi, pessoal da "&amp;B182&amp;"! Tudo bem? 🍔"&amp;CHAR(10)&amp;"Aqui é o "&amp;'Como usar'!$C$4&amp;". Ajudo hamburgueria a vender mais pelo próprio WhatsApp, sem taxa de app."&amp;CHAR(10)&amp;CHAR(10)&amp;IF(F182="","Fiz uma conta rápida: a cada 100 lanches de R$ 35 vendidos no iFood, uns R$ "&amp;ROUND(IF(G182="",35,G182)*100*0.152,-1)&amp;" ficam de taxa.","Fiz uma conta com o "&amp;F182&amp;" de vocês: a cada 100 vendidos no iFood, uns R$ "&amp;ROUND(IF(G182="",35,G182)*100*0.152,-1)&amp;"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"&amp;B182&amp;", de graça, pra vocês verem funcionando. Posso fazer?"</f>
        <v/>
      </c>
      <c r="I182" s="3" t="inlineStr">
        <is>
          <t>A contatar</t>
        </is>
      </c>
      <c r="J182" s="3" t="n"/>
    </row>
    <row r="183" ht="150" customHeight="1">
      <c r="A183" s="2" t="n">
        <v>182</v>
      </c>
      <c r="B183" s="3" t="inlineStr">
        <is>
          <t>Rota 66 Burger</t>
        </is>
      </c>
      <c r="C183" s="4" t="inlineStr">
        <is>
          <t>Franco da Rocha/SP</t>
        </is>
      </c>
      <c r="D183" s="5" t="inlineStr">
        <is>
          <t>abrir</t>
        </is>
      </c>
      <c r="E183" s="3" t="n"/>
      <c r="F183" s="3" t="n"/>
      <c r="G183" s="6" t="n"/>
      <c r="H183" s="7">
        <f>"Oi, pessoal da "&amp;B183&amp;"! Tudo bem? 🍔"&amp;CHAR(10)&amp;"Aqui é o "&amp;'Como usar'!$C$4&amp;". Ajudo hamburgueria a vender mais pelo próprio WhatsApp, sem taxa de app."&amp;CHAR(10)&amp;CHAR(10)&amp;IF(F183="","Fiz uma conta rápida: a cada 100 lanches de R$ 35 vendidos no iFood, uns R$ "&amp;ROUND(IF(G183="",35,G183)*100*0.152,-1)&amp;" ficam de taxa.","Fiz uma conta com o "&amp;F183&amp;" de vocês: a cada 100 vendidos no iFood, uns R$ "&amp;ROUND(IF(G183="",35,G183)*100*0.152,-1)&amp;"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"&amp;B183&amp;", de graça, pra vocês verem funcionando. Posso fazer?"</f>
        <v/>
      </c>
      <c r="I183" s="3" t="inlineStr">
        <is>
          <t>A contatar</t>
        </is>
      </c>
      <c r="J183" s="3" t="n"/>
    </row>
    <row r="184" ht="150" customHeight="1">
      <c r="A184" s="2" t="n">
        <v>183</v>
      </c>
      <c r="B184" s="3" t="inlineStr">
        <is>
          <t>Burger Grill</t>
        </is>
      </c>
      <c r="C184" s="4" t="inlineStr">
        <is>
          <t>Lorena/SP</t>
        </is>
      </c>
      <c r="D184" s="5" t="inlineStr">
        <is>
          <t>abrir</t>
        </is>
      </c>
      <c r="E184" s="3" t="n"/>
      <c r="F184" s="3" t="n"/>
      <c r="G184" s="6" t="n"/>
      <c r="H184" s="7">
        <f>"Oi, pessoal da "&amp;B184&amp;"! Tudo bem? 🍔"&amp;CHAR(10)&amp;"Aqui é o "&amp;'Como usar'!$C$4&amp;". Ajudo hamburgueria a vender mais pelo próprio WhatsApp, sem taxa de app."&amp;CHAR(10)&amp;CHAR(10)&amp;IF(F184="","Fiz uma conta rápida: a cada 100 lanches de R$ 35 vendidos no iFood, uns R$ "&amp;ROUND(IF(G184="",35,G184)*100*0.152,-1)&amp;" ficam de taxa.","Fiz uma conta com o "&amp;F184&amp;" de vocês: a cada 100 vendidos no iFood, uns R$ "&amp;ROUND(IF(G184="",35,G184)*100*0.152,-1)&amp;"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"&amp;B184&amp;", de graça, pra vocês verem funcionando. Posso fazer?"</f>
        <v/>
      </c>
      <c r="I184" s="3" t="inlineStr">
        <is>
          <t>A contatar</t>
        </is>
      </c>
      <c r="J184" s="3" t="n"/>
    </row>
    <row r="185" ht="150" customHeight="1">
      <c r="A185" s="2" t="n">
        <v>184</v>
      </c>
      <c r="B185" s="3" t="inlineStr">
        <is>
          <t>Berro Burguer Hamburgueria</t>
        </is>
      </c>
      <c r="C185" s="4" t="inlineStr">
        <is>
          <t>Ribeirão Preto/SP</t>
        </is>
      </c>
      <c r="D185" s="5" t="inlineStr">
        <is>
          <t>abrir</t>
        </is>
      </c>
      <c r="E185" s="3" t="n"/>
      <c r="F185" s="3" t="n"/>
      <c r="G185" s="6" t="n"/>
      <c r="H185" s="7">
        <f>"Oi, pessoal da "&amp;B185&amp;"! Tudo bem? 🍔"&amp;CHAR(10)&amp;"Aqui é o "&amp;'Como usar'!$C$4&amp;". Ajudo hamburgueria a vender mais pelo próprio WhatsApp, sem taxa de app."&amp;CHAR(10)&amp;CHAR(10)&amp;IF(F185="","Fiz uma conta rápida: a cada 100 lanches de R$ 35 vendidos no iFood, uns R$ "&amp;ROUND(IF(G185="",35,G185)*100*0.152,-1)&amp;" ficam de taxa.","Fiz uma conta com o "&amp;F185&amp;" de vocês: a cada 100 vendidos no iFood, uns R$ "&amp;ROUND(IF(G185="",35,G185)*100*0.152,-1)&amp;"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"&amp;B185&amp;", de graça, pra vocês verem funcionando. Posso fazer?"</f>
        <v/>
      </c>
      <c r="I185" s="3" t="inlineStr">
        <is>
          <t>A contatar</t>
        </is>
      </c>
      <c r="J185" s="3" t="n"/>
    </row>
    <row r="186" ht="150" customHeight="1">
      <c r="A186" s="2" t="n">
        <v>185</v>
      </c>
      <c r="B186" s="3" t="inlineStr">
        <is>
          <t>Dex Hamburgueria</t>
        </is>
      </c>
      <c r="C186" s="4" t="inlineStr">
        <is>
          <t>Ribeirão Preto/SP</t>
        </is>
      </c>
      <c r="D186" s="5" t="inlineStr">
        <is>
          <t>abrir</t>
        </is>
      </c>
      <c r="E186" s="3" t="n"/>
      <c r="F186" s="3" t="n"/>
      <c r="G186" s="6" t="n"/>
      <c r="H186" s="7">
        <f>"Oi, pessoal da "&amp;B186&amp;"! Tudo bem? 🍔"&amp;CHAR(10)&amp;"Aqui é o "&amp;'Como usar'!$C$4&amp;". Ajudo hamburgueria a vender mais pelo próprio WhatsApp, sem taxa de app."&amp;CHAR(10)&amp;CHAR(10)&amp;IF(F186="","Fiz uma conta rápida: a cada 100 lanches de R$ 35 vendidos no iFood, uns R$ "&amp;ROUND(IF(G186="",35,G186)*100*0.152,-1)&amp;" ficam de taxa.","Fiz uma conta com o "&amp;F186&amp;" de vocês: a cada 100 vendidos no iFood, uns R$ "&amp;ROUND(IF(G186="",35,G186)*100*0.152,-1)&amp;"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"&amp;B186&amp;", de graça, pra vocês verem funcionando. Posso fazer?"</f>
        <v/>
      </c>
      <c r="I186" s="3" t="inlineStr">
        <is>
          <t>A contatar</t>
        </is>
      </c>
      <c r="J186" s="3" t="n"/>
    </row>
    <row r="187" ht="150" customHeight="1">
      <c r="A187" s="2" t="n">
        <v>186</v>
      </c>
      <c r="B187" s="3" t="inlineStr">
        <is>
          <t>Jambs Burger</t>
        </is>
      </c>
      <c r="C187" s="4" t="inlineStr">
        <is>
          <t>Ribeirão Preto/SP</t>
        </is>
      </c>
      <c r="D187" s="5" t="inlineStr">
        <is>
          <t>abrir</t>
        </is>
      </c>
      <c r="E187" s="3" t="n"/>
      <c r="F187" s="3" t="n"/>
      <c r="G187" s="6" t="n"/>
      <c r="H187" s="7">
        <f>"Oi, pessoal da "&amp;B187&amp;"! Tudo bem? 🍔"&amp;CHAR(10)&amp;"Aqui é o "&amp;'Como usar'!$C$4&amp;". Ajudo hamburgueria a vender mais pelo próprio WhatsApp, sem taxa de app."&amp;CHAR(10)&amp;CHAR(10)&amp;IF(F187="","Fiz uma conta rápida: a cada 100 lanches de R$ 35 vendidos no iFood, uns R$ "&amp;ROUND(IF(G187="",35,G187)*100*0.152,-1)&amp;" ficam de taxa.","Fiz uma conta com o "&amp;F187&amp;" de vocês: a cada 100 vendidos no iFood, uns R$ "&amp;ROUND(IF(G187="",35,G187)*100*0.152,-1)&amp;"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"&amp;B187&amp;", de graça, pra vocês verem funcionando. Posso fazer?"</f>
        <v/>
      </c>
      <c r="I187" s="3" t="inlineStr">
        <is>
          <t>A contatar</t>
        </is>
      </c>
      <c r="J187" s="3" t="n"/>
    </row>
    <row r="188" ht="150" customHeight="1">
      <c r="A188" s="2" t="n">
        <v>187</v>
      </c>
      <c r="B188" s="3" t="inlineStr">
        <is>
          <t>New York Smash Burger</t>
        </is>
      </c>
      <c r="C188" s="4" t="inlineStr">
        <is>
          <t>Ribeirão Preto/SP</t>
        </is>
      </c>
      <c r="D188" s="5" t="inlineStr">
        <is>
          <t>abrir</t>
        </is>
      </c>
      <c r="E188" s="3" t="n"/>
      <c r="F188" s="3" t="n"/>
      <c r="G188" s="6" t="n"/>
      <c r="H188" s="7">
        <f>"Oi, pessoal da "&amp;B188&amp;"! Tudo bem? 🍔"&amp;CHAR(10)&amp;"Aqui é o "&amp;'Como usar'!$C$4&amp;". Ajudo hamburgueria a vender mais pelo próprio WhatsApp, sem taxa de app."&amp;CHAR(10)&amp;CHAR(10)&amp;IF(F188="","Fiz uma conta rápida: a cada 100 lanches de R$ 35 vendidos no iFood, uns R$ "&amp;ROUND(IF(G188="",35,G188)*100*0.152,-1)&amp;" ficam de taxa.","Fiz uma conta com o "&amp;F188&amp;" de vocês: a cada 100 vendidos no iFood, uns R$ "&amp;ROUND(IF(G188="",35,G188)*100*0.152,-1)&amp;"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"&amp;B188&amp;", de graça, pra vocês verem funcionando. Posso fazer?"</f>
        <v/>
      </c>
      <c r="I188" s="3" t="inlineStr">
        <is>
          <t>A contatar</t>
        </is>
      </c>
      <c r="J188" s="3" t="n"/>
    </row>
    <row r="189" ht="150" customHeight="1">
      <c r="A189" s="2" t="n">
        <v>188</v>
      </c>
      <c r="B189" s="3" t="inlineStr">
        <is>
          <t>Smash Burger</t>
        </is>
      </c>
      <c r="C189" s="4" t="inlineStr">
        <is>
          <t>Ribeirão Preto/SP</t>
        </is>
      </c>
      <c r="D189" s="5" t="inlineStr">
        <is>
          <t>abrir</t>
        </is>
      </c>
      <c r="E189" s="3" t="n"/>
      <c r="F189" s="3" t="n"/>
      <c r="G189" s="6" t="n"/>
      <c r="H189" s="7">
        <f>"Oi, pessoal da "&amp;B189&amp;"! Tudo bem? 🍔"&amp;CHAR(10)&amp;"Aqui é o "&amp;'Como usar'!$C$4&amp;". Ajudo hamburgueria a vender mais pelo próprio WhatsApp, sem taxa de app."&amp;CHAR(10)&amp;CHAR(10)&amp;IF(F189="","Fiz uma conta rápida: a cada 100 lanches de R$ 35 vendidos no iFood, uns R$ "&amp;ROUND(IF(G189="",35,G189)*100*0.152,-1)&amp;" ficam de taxa.","Fiz uma conta com o "&amp;F189&amp;" de vocês: a cada 100 vendidos no iFood, uns R$ "&amp;ROUND(IF(G189="",35,G189)*100*0.152,-1)&amp;"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"&amp;B189&amp;", de graça, pra vocês verem funcionando. Posso fazer?"</f>
        <v/>
      </c>
      <c r="I189" s="3" t="inlineStr">
        <is>
          <t>A contatar</t>
        </is>
      </c>
      <c r="J189" s="3" t="n"/>
    </row>
    <row r="190" ht="150" customHeight="1">
      <c r="A190" s="2" t="n">
        <v>189</v>
      </c>
      <c r="B190" s="3" t="inlineStr">
        <is>
          <t>Smash.The.King</t>
        </is>
      </c>
      <c r="C190" s="4" t="inlineStr">
        <is>
          <t>Ribeirão Preto/SP</t>
        </is>
      </c>
      <c r="D190" s="5" t="inlineStr">
        <is>
          <t>abrir</t>
        </is>
      </c>
      <c r="E190" s="3" t="n"/>
      <c r="F190" s="3" t="n"/>
      <c r="G190" s="6" t="n"/>
      <c r="H190" s="7">
        <f>"Oi, pessoal da "&amp;B190&amp;"! Tudo bem? 🍔"&amp;CHAR(10)&amp;"Aqui é o "&amp;'Como usar'!$C$4&amp;". Ajudo hamburgueria a vender mais pelo próprio WhatsApp, sem taxa de app."&amp;CHAR(10)&amp;CHAR(10)&amp;IF(F190="","Fiz uma conta rápida: a cada 100 lanches de R$ 35 vendidos no iFood, uns R$ "&amp;ROUND(IF(G190="",35,G190)*100*0.152,-1)&amp;" ficam de taxa.","Fiz uma conta com o "&amp;F190&amp;" de vocês: a cada 100 vendidos no iFood, uns R$ "&amp;ROUND(IF(G190="",35,G190)*100*0.152,-1)&amp;"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"&amp;B190&amp;", de graça, pra vocês verem funcionando. Posso fazer?"</f>
        <v/>
      </c>
      <c r="I190" s="3" t="inlineStr">
        <is>
          <t>A contatar</t>
        </is>
      </c>
      <c r="J190" s="3" t="n"/>
    </row>
    <row r="191" ht="150" customHeight="1">
      <c r="A191" s="2" t="n">
        <v>190</v>
      </c>
      <c r="B191" s="3" t="inlineStr">
        <is>
          <t>Tasca Burger</t>
        </is>
      </c>
      <c r="C191" s="4" t="inlineStr">
        <is>
          <t>Ribeirão Preto/SP</t>
        </is>
      </c>
      <c r="D191" s="5" t="inlineStr">
        <is>
          <t>abrir</t>
        </is>
      </c>
      <c r="E191" s="3" t="n"/>
      <c r="F191" s="3" t="n"/>
      <c r="G191" s="6" t="n"/>
      <c r="H191" s="7">
        <f>"Oi, pessoal da "&amp;B191&amp;"! Tudo bem? 🍔"&amp;CHAR(10)&amp;"Aqui é o "&amp;'Como usar'!$C$4&amp;". Ajudo hamburgueria a vender mais pelo próprio WhatsApp, sem taxa de app."&amp;CHAR(10)&amp;CHAR(10)&amp;IF(F191="","Fiz uma conta rápida: a cada 100 lanches de R$ 35 vendidos no iFood, uns R$ "&amp;ROUND(IF(G191="",35,G191)*100*0.152,-1)&amp;" ficam de taxa.","Fiz uma conta com o "&amp;F191&amp;" de vocês: a cada 100 vendidos no iFood, uns R$ "&amp;ROUND(IF(G191="",35,G191)*100*0.152,-1)&amp;"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"&amp;B191&amp;", de graça, pra vocês verem funcionando. Posso fazer?"</f>
        <v/>
      </c>
      <c r="I191" s="3" t="inlineStr">
        <is>
          <t>A contatar</t>
        </is>
      </c>
      <c r="J191" s="3" t="n"/>
    </row>
    <row r="192" ht="150" customHeight="1">
      <c r="A192" s="2" t="n">
        <v>191</v>
      </c>
      <c r="B192" s="3" t="inlineStr">
        <is>
          <t>Bom Beef Burgers Hamburgueria</t>
        </is>
      </c>
      <c r="C192" s="4" t="inlineStr">
        <is>
          <t>Santo André/SP</t>
        </is>
      </c>
      <c r="D192" s="5" t="inlineStr">
        <is>
          <t>abrir</t>
        </is>
      </c>
      <c r="E192" s="3" t="n"/>
      <c r="F192" s="3" t="n"/>
      <c r="G192" s="6" t="n"/>
      <c r="H192" s="7">
        <f>"Oi, pessoal da "&amp;B192&amp;"! Tudo bem? 🍔"&amp;CHAR(10)&amp;"Aqui é o "&amp;'Como usar'!$C$4&amp;". Ajudo hamburgueria a vender mais pelo próprio WhatsApp, sem taxa de app."&amp;CHAR(10)&amp;CHAR(10)&amp;IF(F192="","Fiz uma conta rápida: a cada 100 lanches de R$ 35 vendidos no iFood, uns R$ "&amp;ROUND(IF(G192="",35,G192)*100*0.152,-1)&amp;" ficam de taxa.","Fiz uma conta com o "&amp;F192&amp;" de vocês: a cada 100 vendidos no iFood, uns R$ "&amp;ROUND(IF(G192="",35,G192)*100*0.152,-1)&amp;"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"&amp;B192&amp;", de graça, pra vocês verem funcionando. Posso fazer?"</f>
        <v/>
      </c>
      <c r="I192" s="3" t="inlineStr">
        <is>
          <t>A contatar</t>
        </is>
      </c>
      <c r="J192" s="3" t="n"/>
    </row>
    <row r="193" ht="150" customHeight="1">
      <c r="A193" s="2" t="n">
        <v>192</v>
      </c>
      <c r="B193" s="3" t="inlineStr">
        <is>
          <t>Hamburgueria T-Burgerz</t>
        </is>
      </c>
      <c r="C193" s="4" t="inlineStr">
        <is>
          <t>São Bernardo do Campo/SP</t>
        </is>
      </c>
      <c r="D193" s="5" t="inlineStr">
        <is>
          <t>abrir</t>
        </is>
      </c>
      <c r="E193" s="3" t="n"/>
      <c r="F193" s="3" t="n"/>
      <c r="G193" s="6" t="n"/>
      <c r="H193" s="7">
        <f>"Oi, pessoal da "&amp;B193&amp;"! Tudo bem? 🍔"&amp;CHAR(10)&amp;"Aqui é o "&amp;'Como usar'!$C$4&amp;". Ajudo hamburgueria a vender mais pelo próprio WhatsApp, sem taxa de app."&amp;CHAR(10)&amp;CHAR(10)&amp;IF(F193="","Fiz uma conta rápida: a cada 100 lanches de R$ 35 vendidos no iFood, uns R$ "&amp;ROUND(IF(G193="",35,G193)*100*0.152,-1)&amp;" ficam de taxa.","Fiz uma conta com o "&amp;F193&amp;" de vocês: a cada 100 vendidos no iFood, uns R$ "&amp;ROUND(IF(G193="",35,G193)*100*0.152,-1)&amp;"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"&amp;B193&amp;", de graça, pra vocês verem funcionando. Posso fazer?"</f>
        <v/>
      </c>
      <c r="I193" s="3" t="inlineStr">
        <is>
          <t>A contatar</t>
        </is>
      </c>
      <c r="J193" s="3" t="n"/>
    </row>
    <row r="194" ht="150" customHeight="1">
      <c r="A194" s="2" t="n">
        <v>193</v>
      </c>
      <c r="B194" s="3" t="inlineStr">
        <is>
          <t>Burger Time</t>
        </is>
      </c>
      <c r="C194" s="4" t="inlineStr">
        <is>
          <t>São João da Boa Vista/SP</t>
        </is>
      </c>
      <c r="D194" s="5" t="inlineStr">
        <is>
          <t>abrir</t>
        </is>
      </c>
      <c r="E194" s="3" t="n"/>
      <c r="F194" s="3" t="n"/>
      <c r="G194" s="6" t="n"/>
      <c r="H194" s="7">
        <f>"Oi, pessoal da "&amp;B194&amp;"! Tudo bem? 🍔"&amp;CHAR(10)&amp;"Aqui é o "&amp;'Como usar'!$C$4&amp;". Ajudo hamburgueria a vender mais pelo próprio WhatsApp, sem taxa de app."&amp;CHAR(10)&amp;CHAR(10)&amp;IF(F194="","Fiz uma conta rápida: a cada 100 lanches de R$ 35 vendidos no iFood, uns R$ "&amp;ROUND(IF(G194="",35,G194)*100*0.152,-1)&amp;" ficam de taxa.","Fiz uma conta com o "&amp;F194&amp;" de vocês: a cada 100 vendidos no iFood, uns R$ "&amp;ROUND(IF(G194="",35,G194)*100*0.152,-1)&amp;"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"&amp;B194&amp;", de graça, pra vocês verem funcionando. Posso fazer?"</f>
        <v/>
      </c>
      <c r="I194" s="3" t="inlineStr">
        <is>
          <t>A contatar</t>
        </is>
      </c>
      <c r="J194" s="3" t="n"/>
    </row>
    <row r="195" ht="150" customHeight="1">
      <c r="A195" s="2" t="n">
        <v>194</v>
      </c>
      <c r="B195" s="3" t="inlineStr">
        <is>
          <t>Garden Gourmet Hamburgueria</t>
        </is>
      </c>
      <c r="C195" s="4" t="inlineStr">
        <is>
          <t>São João da Boa Vista/SP</t>
        </is>
      </c>
      <c r="D195" s="5" t="inlineStr">
        <is>
          <t>abrir</t>
        </is>
      </c>
      <c r="E195" s="3" t="n"/>
      <c r="F195" s="3" t="n"/>
      <c r="G195" s="6" t="n"/>
      <c r="H195" s="7">
        <f>"Oi, pessoal da "&amp;B195&amp;"! Tudo bem? 🍔"&amp;CHAR(10)&amp;"Aqui é o "&amp;'Como usar'!$C$4&amp;". Ajudo hamburgueria a vender mais pelo próprio WhatsApp, sem taxa de app."&amp;CHAR(10)&amp;CHAR(10)&amp;IF(F195="","Fiz uma conta rápida: a cada 100 lanches de R$ 35 vendidos no iFood, uns R$ "&amp;ROUND(IF(G195="",35,G195)*100*0.152,-1)&amp;" ficam de taxa.","Fiz uma conta com o "&amp;F195&amp;" de vocês: a cada 100 vendidos no iFood, uns R$ "&amp;ROUND(IF(G195="",35,G195)*100*0.152,-1)&amp;"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"&amp;B195&amp;", de graça, pra vocês verem funcionando. Posso fazer?"</f>
        <v/>
      </c>
      <c r="I195" s="3" t="inlineStr">
        <is>
          <t>A contatar</t>
        </is>
      </c>
      <c r="J195" s="3" t="n"/>
    </row>
    <row r="196" ht="150" customHeight="1">
      <c r="A196" s="2" t="n">
        <v>195</v>
      </c>
      <c r="B196" s="3" t="inlineStr">
        <is>
          <t>Brothers Prime</t>
        </is>
      </c>
      <c r="C196" s="4" t="inlineStr">
        <is>
          <t>São Paulo/SP</t>
        </is>
      </c>
      <c r="D196" s="5" t="inlineStr">
        <is>
          <t>abrir</t>
        </is>
      </c>
      <c r="E196" s="3" t="n"/>
      <c r="F196" s="3" t="n"/>
      <c r="G196" s="6" t="n"/>
      <c r="H196" s="7">
        <f>"Oi, pessoal da "&amp;B196&amp;"! Tudo bem? 🍔"&amp;CHAR(10)&amp;"Aqui é o "&amp;'Como usar'!$C$4&amp;". Ajudo hamburgueria a vender mais pelo próprio WhatsApp, sem taxa de app."&amp;CHAR(10)&amp;CHAR(10)&amp;IF(F196="","Fiz uma conta rápida: a cada 100 lanches de R$ 35 vendidos no iFood, uns R$ "&amp;ROUND(IF(G196="",35,G196)*100*0.152,-1)&amp;" ficam de taxa.","Fiz uma conta com o "&amp;F196&amp;" de vocês: a cada 100 vendidos no iFood, uns R$ "&amp;ROUND(IF(G196="",35,G196)*100*0.152,-1)&amp;"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"&amp;B196&amp;", de graça, pra vocês verem funcionando. Posso fazer?"</f>
        <v/>
      </c>
      <c r="I196" s="3" t="inlineStr">
        <is>
          <t>A contatar</t>
        </is>
      </c>
      <c r="J196" s="3" t="n"/>
    </row>
    <row r="197" ht="150" customHeight="1">
      <c r="A197" s="2" t="n">
        <v>196</v>
      </c>
      <c r="B197" s="3" t="inlineStr">
        <is>
          <t>Burger's House</t>
        </is>
      </c>
      <c r="C197" s="4" t="inlineStr">
        <is>
          <t>São Paulo/SP</t>
        </is>
      </c>
      <c r="D197" s="5" t="inlineStr">
        <is>
          <t>abrir</t>
        </is>
      </c>
      <c r="E197" s="3" t="n"/>
      <c r="F197" s="3" t="n"/>
      <c r="G197" s="6" t="n"/>
      <c r="H197" s="7">
        <f>"Oi, pessoal da "&amp;B197&amp;"! Tudo bem? 🍔"&amp;CHAR(10)&amp;"Aqui é o "&amp;'Como usar'!$C$4&amp;". Ajudo hamburgueria a vender mais pelo próprio WhatsApp, sem taxa de app."&amp;CHAR(10)&amp;CHAR(10)&amp;IF(F197="","Fiz uma conta rápida: a cada 100 lanches de R$ 35 vendidos no iFood, uns R$ "&amp;ROUND(IF(G197="",35,G197)*100*0.152,-1)&amp;" ficam de taxa.","Fiz uma conta com o "&amp;F197&amp;" de vocês: a cada 100 vendidos no iFood, uns R$ "&amp;ROUND(IF(G197="",35,G197)*100*0.152,-1)&amp;"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"&amp;B197&amp;", de graça, pra vocês verem funcionando. Posso fazer?"</f>
        <v/>
      </c>
      <c r="I197" s="3" t="inlineStr">
        <is>
          <t>A contatar</t>
        </is>
      </c>
      <c r="J197" s="3" t="n"/>
    </row>
    <row r="198" ht="150" customHeight="1">
      <c r="A198" s="2" t="n">
        <v>197</v>
      </c>
      <c r="B198" s="3" t="inlineStr">
        <is>
          <t>Dinos Smash Burger</t>
        </is>
      </c>
      <c r="C198" s="4" t="inlineStr">
        <is>
          <t>São Paulo/SP</t>
        </is>
      </c>
      <c r="D198" s="5" t="inlineStr">
        <is>
          <t>abrir</t>
        </is>
      </c>
      <c r="E198" s="3" t="n"/>
      <c r="F198" s="3" t="n"/>
      <c r="G198" s="6" t="n"/>
      <c r="H198" s="7">
        <f>"Oi, pessoal da "&amp;B198&amp;"! Tudo bem? 🍔"&amp;CHAR(10)&amp;"Aqui é o "&amp;'Como usar'!$C$4&amp;". Ajudo hamburgueria a vender mais pelo próprio WhatsApp, sem taxa de app."&amp;CHAR(10)&amp;CHAR(10)&amp;IF(F198="","Fiz uma conta rápida: a cada 100 lanches de R$ 35 vendidos no iFood, uns R$ "&amp;ROUND(IF(G198="",35,G198)*100*0.152,-1)&amp;" ficam de taxa.","Fiz uma conta com o "&amp;F198&amp;" de vocês: a cada 100 vendidos no iFood, uns R$ "&amp;ROUND(IF(G198="",35,G198)*100*0.152,-1)&amp;"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"&amp;B198&amp;", de graça, pra vocês verem funcionando. Posso fazer?"</f>
        <v/>
      </c>
      <c r="I198" s="3" t="inlineStr">
        <is>
          <t>A contatar</t>
        </is>
      </c>
      <c r="J198" s="3" t="n"/>
    </row>
    <row r="199" ht="150" customHeight="1">
      <c r="A199" s="2" t="n">
        <v>198</v>
      </c>
      <c r="B199" s="3" t="inlineStr">
        <is>
          <t>Guimis Burguer</t>
        </is>
      </c>
      <c r="C199" s="4" t="inlineStr">
        <is>
          <t>São Paulo/SP</t>
        </is>
      </c>
      <c r="D199" s="5" t="inlineStr">
        <is>
          <t>abrir</t>
        </is>
      </c>
      <c r="E199" s="3" t="n"/>
      <c r="F199" s="3" t="n"/>
      <c r="G199" s="6" t="n"/>
      <c r="H199" s="7">
        <f>"Oi, pessoal da "&amp;B199&amp;"! Tudo bem? 🍔"&amp;CHAR(10)&amp;"Aqui é o "&amp;'Como usar'!$C$4&amp;". Ajudo hamburgueria a vender mais pelo próprio WhatsApp, sem taxa de app."&amp;CHAR(10)&amp;CHAR(10)&amp;IF(F199="","Fiz uma conta rápida: a cada 100 lanches de R$ 35 vendidos no iFood, uns R$ "&amp;ROUND(IF(G199="",35,G199)*100*0.152,-1)&amp;" ficam de taxa.","Fiz uma conta com o "&amp;F199&amp;" de vocês: a cada 100 vendidos no iFood, uns R$ "&amp;ROUND(IF(G199="",35,G199)*100*0.152,-1)&amp;"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"&amp;B199&amp;", de graça, pra vocês verem funcionando. Posso fazer?"</f>
        <v/>
      </c>
      <c r="I199" s="3" t="inlineStr">
        <is>
          <t>A contatar</t>
        </is>
      </c>
      <c r="J199" s="3" t="n"/>
    </row>
    <row r="200" ht="150" customHeight="1">
      <c r="A200" s="2" t="n">
        <v>199</v>
      </c>
      <c r="B200" s="3" t="inlineStr">
        <is>
          <t>Hamburgueria 6019 Australian Burger</t>
        </is>
      </c>
      <c r="C200" s="4" t="inlineStr">
        <is>
          <t>São Paulo/SP</t>
        </is>
      </c>
      <c r="D200" s="5" t="inlineStr">
        <is>
          <t>abrir</t>
        </is>
      </c>
      <c r="E200" s="3" t="n"/>
      <c r="F200" s="3" t="n"/>
      <c r="G200" s="6" t="n"/>
      <c r="H200" s="7">
        <f>"Oi, pessoal da "&amp;B200&amp;"! Tudo bem? 🍔"&amp;CHAR(10)&amp;"Aqui é o "&amp;'Como usar'!$C$4&amp;". Ajudo hamburgueria a vender mais pelo próprio WhatsApp, sem taxa de app."&amp;CHAR(10)&amp;CHAR(10)&amp;IF(F200="","Fiz uma conta rápida: a cada 100 lanches de R$ 35 vendidos no iFood, uns R$ "&amp;ROUND(IF(G200="",35,G200)*100*0.152,-1)&amp;" ficam de taxa.","Fiz uma conta com o "&amp;F200&amp;" de vocês: a cada 100 vendidos no iFood, uns R$ "&amp;ROUND(IF(G200="",35,G200)*100*0.152,-1)&amp;"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"&amp;B200&amp;", de graça, pra vocês verem funcionando. Posso fazer?"</f>
        <v/>
      </c>
      <c r="I200" s="3" t="inlineStr">
        <is>
          <t>A contatar</t>
        </is>
      </c>
      <c r="J200" s="3" t="n"/>
    </row>
    <row r="201" ht="150" customHeight="1">
      <c r="A201" s="2" t="n">
        <v>200</v>
      </c>
      <c r="B201" s="3" t="inlineStr">
        <is>
          <t>Hamburgueria Artesanal</t>
        </is>
      </c>
      <c r="C201" s="4" t="inlineStr">
        <is>
          <t>São Paulo/SP</t>
        </is>
      </c>
      <c r="D201" s="5" t="inlineStr">
        <is>
          <t>abrir</t>
        </is>
      </c>
      <c r="E201" s="3" t="n"/>
      <c r="F201" s="3" t="n"/>
      <c r="G201" s="6" t="n"/>
      <c r="H201" s="7">
        <f>"Oi, pessoal da "&amp;B201&amp;"! Tudo bem? 🍔"&amp;CHAR(10)&amp;"Aqui é o "&amp;'Como usar'!$C$4&amp;". Ajudo hamburgueria a vender mais pelo próprio WhatsApp, sem taxa de app."&amp;CHAR(10)&amp;CHAR(10)&amp;IF(F201="","Fiz uma conta rápida: a cada 100 lanches de R$ 35 vendidos no iFood, uns R$ "&amp;ROUND(IF(G201="",35,G201)*100*0.152,-1)&amp;" ficam de taxa.","Fiz uma conta com o "&amp;F201&amp;" de vocês: a cada 100 vendidos no iFood, uns R$ "&amp;ROUND(IF(G201="",35,G201)*100*0.152,-1)&amp;"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"&amp;B201&amp;", de graça, pra vocês verem funcionando. Posso fazer?"</f>
        <v/>
      </c>
      <c r="I201" s="3" t="inlineStr">
        <is>
          <t>A contatar</t>
        </is>
      </c>
      <c r="J201" s="3" t="n"/>
    </row>
    <row r="202" ht="150" customHeight="1">
      <c r="A202" s="2" t="n">
        <v>201</v>
      </c>
      <c r="B202" s="3" t="inlineStr">
        <is>
          <t>Hamburgueria Burgão Zona Leste</t>
        </is>
      </c>
      <c r="C202" s="4" t="inlineStr">
        <is>
          <t>São Paulo/SP</t>
        </is>
      </c>
      <c r="D202" s="5" t="inlineStr">
        <is>
          <t>abrir</t>
        </is>
      </c>
      <c r="E202" s="3" t="n"/>
      <c r="F202" s="3" t="n"/>
      <c r="G202" s="6" t="n"/>
      <c r="H202" s="7">
        <f>"Oi, pessoal da "&amp;B202&amp;"! Tudo bem? 🍔"&amp;CHAR(10)&amp;"Aqui é o "&amp;'Como usar'!$C$4&amp;". Ajudo hamburgueria a vender mais pelo próprio WhatsApp, sem taxa de app."&amp;CHAR(10)&amp;CHAR(10)&amp;IF(F202="","Fiz uma conta rápida: a cada 100 lanches de R$ 35 vendidos no iFood, uns R$ "&amp;ROUND(IF(G202="",35,G202)*100*0.152,-1)&amp;" ficam de taxa.","Fiz uma conta com o "&amp;F202&amp;" de vocês: a cada 100 vendidos no iFood, uns R$ "&amp;ROUND(IF(G202="",35,G202)*100*0.152,-1)&amp;"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"&amp;B202&amp;", de graça, pra vocês verem funcionando. Posso fazer?"</f>
        <v/>
      </c>
      <c r="I202" s="3" t="inlineStr">
        <is>
          <t>A contatar</t>
        </is>
      </c>
      <c r="J202" s="3" t="n"/>
    </row>
    <row r="203" ht="150" customHeight="1">
      <c r="A203" s="2" t="n">
        <v>202</v>
      </c>
      <c r="B203" s="3" t="inlineStr">
        <is>
          <t>Hamburgueria TAG Burger</t>
        </is>
      </c>
      <c r="C203" s="4" t="inlineStr">
        <is>
          <t>São Paulo/SP</t>
        </is>
      </c>
      <c r="D203" s="5" t="inlineStr">
        <is>
          <t>abrir</t>
        </is>
      </c>
      <c r="E203" s="3" t="n"/>
      <c r="F203" s="3" t="n"/>
      <c r="G203" s="6" t="n"/>
      <c r="H203" s="7">
        <f>"Oi, pessoal da "&amp;B203&amp;"! Tudo bem? 🍔"&amp;CHAR(10)&amp;"Aqui é o "&amp;'Como usar'!$C$4&amp;". Ajudo hamburgueria a vender mais pelo próprio WhatsApp, sem taxa de app."&amp;CHAR(10)&amp;CHAR(10)&amp;IF(F203="","Fiz uma conta rápida: a cada 100 lanches de R$ 35 vendidos no iFood, uns R$ "&amp;ROUND(IF(G203="",35,G203)*100*0.152,-1)&amp;" ficam de taxa.","Fiz uma conta com o "&amp;F203&amp;" de vocês: a cada 100 vendidos no iFood, uns R$ "&amp;ROUND(IF(G203="",35,G203)*100*0.152,-1)&amp;"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"&amp;B203&amp;", de graça, pra vocês verem funcionando. Posso fazer?"</f>
        <v/>
      </c>
      <c r="I203" s="3" t="inlineStr">
        <is>
          <t>A contatar</t>
        </is>
      </c>
      <c r="J203" s="3" t="n"/>
    </row>
    <row r="204" ht="150" customHeight="1">
      <c r="A204" s="2" t="n">
        <v>203</v>
      </c>
      <c r="B204" s="3" t="inlineStr">
        <is>
          <t>Hamburgueria Tradi Tatuapé</t>
        </is>
      </c>
      <c r="C204" s="4" t="inlineStr">
        <is>
          <t>São Paulo/SP</t>
        </is>
      </c>
      <c r="D204" s="5" t="inlineStr">
        <is>
          <t>abrir</t>
        </is>
      </c>
      <c r="E204" s="3" t="n"/>
      <c r="F204" s="3" t="n"/>
      <c r="G204" s="6" t="n"/>
      <c r="H204" s="7">
        <f>"Oi, pessoal da "&amp;B204&amp;"! Tudo bem? 🍔"&amp;CHAR(10)&amp;"Aqui é o "&amp;'Como usar'!$C$4&amp;". Ajudo hamburgueria a vender mais pelo próprio WhatsApp, sem taxa de app."&amp;CHAR(10)&amp;CHAR(10)&amp;IF(F204="","Fiz uma conta rápida: a cada 100 lanches de R$ 35 vendidos no iFood, uns R$ "&amp;ROUND(IF(G204="",35,G204)*100*0.152,-1)&amp;" ficam de taxa.","Fiz uma conta com o "&amp;F204&amp;" de vocês: a cada 100 vendidos no iFood, uns R$ "&amp;ROUND(IF(G204="",35,G204)*100*0.152,-1)&amp;"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"&amp;B204&amp;", de graça, pra vocês verem funcionando. Posso fazer?"</f>
        <v/>
      </c>
      <c r="I204" s="3" t="inlineStr">
        <is>
          <t>A contatar</t>
        </is>
      </c>
      <c r="J204" s="3" t="n"/>
    </row>
    <row r="205" ht="150" customHeight="1">
      <c r="A205" s="2" t="n">
        <v>204</v>
      </c>
      <c r="B205" s="3" t="inlineStr">
        <is>
          <t>Hambúrgueria Zé Burguer</t>
        </is>
      </c>
      <c r="C205" s="4" t="inlineStr">
        <is>
          <t>São Paulo/SP</t>
        </is>
      </c>
      <c r="D205" s="5" t="inlineStr">
        <is>
          <t>abrir</t>
        </is>
      </c>
      <c r="E205" s="3" t="n"/>
      <c r="F205" s="3" t="n"/>
      <c r="G205" s="6" t="n"/>
      <c r="H205" s="7">
        <f>"Oi, pessoal da "&amp;B205&amp;"! Tudo bem? 🍔"&amp;CHAR(10)&amp;"Aqui é o "&amp;'Como usar'!$C$4&amp;". Ajudo hamburgueria a vender mais pelo próprio WhatsApp, sem taxa de app."&amp;CHAR(10)&amp;CHAR(10)&amp;IF(F205="","Fiz uma conta rápida: a cada 100 lanches de R$ 35 vendidos no iFood, uns R$ "&amp;ROUND(IF(G205="",35,G205)*100*0.152,-1)&amp;" ficam de taxa.","Fiz uma conta com o "&amp;F205&amp;" de vocês: a cada 100 vendidos no iFood, uns R$ "&amp;ROUND(IF(G205="",35,G205)*100*0.152,-1)&amp;"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"&amp;B205&amp;", de graça, pra vocês verem funcionando. Posso fazer?"</f>
        <v/>
      </c>
      <c r="I205" s="3" t="inlineStr">
        <is>
          <t>A contatar</t>
        </is>
      </c>
      <c r="J205" s="3" t="n"/>
    </row>
    <row r="206" ht="150" customHeight="1">
      <c r="A206" s="2" t="n">
        <v>205</v>
      </c>
      <c r="B206" s="3" t="inlineStr">
        <is>
          <t>Holy Smash Burguer</t>
        </is>
      </c>
      <c r="C206" s="4" t="inlineStr">
        <is>
          <t>São Paulo/SP</t>
        </is>
      </c>
      <c r="D206" s="5" t="inlineStr">
        <is>
          <t>abrir</t>
        </is>
      </c>
      <c r="E206" s="3" t="n"/>
      <c r="F206" s="3" t="n"/>
      <c r="G206" s="6" t="n"/>
      <c r="H206" s="7">
        <f>"Oi, pessoal da "&amp;B206&amp;"! Tudo bem? 🍔"&amp;CHAR(10)&amp;"Aqui é o "&amp;'Como usar'!$C$4&amp;". Ajudo hamburgueria a vender mais pelo próprio WhatsApp, sem taxa de app."&amp;CHAR(10)&amp;CHAR(10)&amp;IF(F206="","Fiz uma conta rápida: a cada 100 lanches de R$ 35 vendidos no iFood, uns R$ "&amp;ROUND(IF(G206="",35,G206)*100*0.152,-1)&amp;" ficam de taxa.","Fiz uma conta com o "&amp;F206&amp;" de vocês: a cada 100 vendidos no iFood, uns R$ "&amp;ROUND(IF(G206="",35,G206)*100*0.152,-1)&amp;"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"&amp;B206&amp;", de graça, pra vocês verem funcionando. Posso fazer?"</f>
        <v/>
      </c>
      <c r="I206" s="3" t="inlineStr">
        <is>
          <t>A contatar</t>
        </is>
      </c>
      <c r="J206" s="3" t="n"/>
    </row>
    <row r="207" ht="150" customHeight="1">
      <c r="A207" s="2" t="n">
        <v>206</v>
      </c>
      <c r="B207" s="3" t="inlineStr">
        <is>
          <t>John's Burguer Mooca</t>
        </is>
      </c>
      <c r="C207" s="4" t="inlineStr">
        <is>
          <t>São Paulo/SP</t>
        </is>
      </c>
      <c r="D207" s="5" t="inlineStr">
        <is>
          <t>abrir</t>
        </is>
      </c>
      <c r="E207" s="3" t="n"/>
      <c r="F207" s="3" t="n"/>
      <c r="G207" s="6" t="n"/>
      <c r="H207" s="7">
        <f>"Oi, pessoal da "&amp;B207&amp;"! Tudo bem? 🍔"&amp;CHAR(10)&amp;"Aqui é o "&amp;'Como usar'!$C$4&amp;". Ajudo hamburgueria a vender mais pelo próprio WhatsApp, sem taxa de app."&amp;CHAR(10)&amp;CHAR(10)&amp;IF(F207="","Fiz uma conta rápida: a cada 100 lanches de R$ 35 vendidos no iFood, uns R$ "&amp;ROUND(IF(G207="",35,G207)*100*0.152,-1)&amp;" ficam de taxa.","Fiz uma conta com o "&amp;F207&amp;" de vocês: a cada 100 vendidos no iFood, uns R$ "&amp;ROUND(IF(G207="",35,G207)*100*0.152,-1)&amp;"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"&amp;B207&amp;", de graça, pra vocês verem funcionando. Posso fazer?"</f>
        <v/>
      </c>
      <c r="I207" s="3" t="inlineStr">
        <is>
          <t>A contatar</t>
        </is>
      </c>
      <c r="J207" s="3" t="n"/>
    </row>
    <row r="208" ht="150" customHeight="1">
      <c r="A208" s="2" t="n">
        <v>207</v>
      </c>
      <c r="B208" s="3" t="inlineStr">
        <is>
          <t>Los Burger</t>
        </is>
      </c>
      <c r="C208" s="4" t="inlineStr">
        <is>
          <t>São Paulo/SP</t>
        </is>
      </c>
      <c r="D208" s="5" t="inlineStr">
        <is>
          <t>abrir</t>
        </is>
      </c>
      <c r="E208" s="3" t="n"/>
      <c r="F208" s="3" t="n"/>
      <c r="G208" s="6" t="n"/>
      <c r="H208" s="7">
        <f>"Oi, pessoal da "&amp;B208&amp;"! Tudo bem? 🍔"&amp;CHAR(10)&amp;"Aqui é o "&amp;'Como usar'!$C$4&amp;". Ajudo hamburgueria a vender mais pelo próprio WhatsApp, sem taxa de app."&amp;CHAR(10)&amp;CHAR(10)&amp;IF(F208="","Fiz uma conta rápida: a cada 100 lanches de R$ 35 vendidos no iFood, uns R$ "&amp;ROUND(IF(G208="",35,G208)*100*0.152,-1)&amp;" ficam de taxa.","Fiz uma conta com o "&amp;F208&amp;" de vocês: a cada 100 vendidos no iFood, uns R$ "&amp;ROUND(IF(G208="",35,G208)*100*0.152,-1)&amp;"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"&amp;B208&amp;", de graça, pra vocês verem funcionando. Posso fazer?"</f>
        <v/>
      </c>
      <c r="I208" s="3" t="inlineStr">
        <is>
          <t>A contatar</t>
        </is>
      </c>
      <c r="J208" s="3" t="n"/>
    </row>
    <row r="209" ht="150" customHeight="1">
      <c r="A209" s="2" t="n">
        <v>208</v>
      </c>
      <c r="B209" s="3" t="inlineStr">
        <is>
          <t>Six Burgers Mooca</t>
        </is>
      </c>
      <c r="C209" s="4" t="inlineStr">
        <is>
          <t>São Paulo/SP</t>
        </is>
      </c>
      <c r="D209" s="5" t="inlineStr">
        <is>
          <t>abrir</t>
        </is>
      </c>
      <c r="E209" s="3" t="n"/>
      <c r="F209" s="3" t="n"/>
      <c r="G209" s="6" t="n"/>
      <c r="H209" s="7">
        <f>"Oi, pessoal da "&amp;B209&amp;"! Tudo bem? 🍔"&amp;CHAR(10)&amp;"Aqui é o "&amp;'Como usar'!$C$4&amp;". Ajudo hamburgueria a vender mais pelo próprio WhatsApp, sem taxa de app."&amp;CHAR(10)&amp;CHAR(10)&amp;IF(F209="","Fiz uma conta rápida: a cada 100 lanches de R$ 35 vendidos no iFood, uns R$ "&amp;ROUND(IF(G209="",35,G209)*100*0.152,-1)&amp;" ficam de taxa.","Fiz uma conta com o "&amp;F209&amp;" de vocês: a cada 100 vendidos no iFood, uns R$ "&amp;ROUND(IF(G209="",35,G209)*100*0.152,-1)&amp;"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"&amp;B209&amp;", de graça, pra vocês verem funcionando. Posso fazer?"</f>
        <v/>
      </c>
      <c r="I209" s="3" t="inlineStr">
        <is>
          <t>A contatar</t>
        </is>
      </c>
      <c r="J209" s="3" t="n"/>
    </row>
    <row r="210" ht="150" customHeight="1">
      <c r="A210" s="2" t="n">
        <v>209</v>
      </c>
      <c r="B210" s="3" t="inlineStr">
        <is>
          <t>Smash &amp; Burguer Letz</t>
        </is>
      </c>
      <c r="C210" s="4" t="inlineStr">
        <is>
          <t>São Paulo/SP</t>
        </is>
      </c>
      <c r="D210" s="5" t="inlineStr">
        <is>
          <t>abrir</t>
        </is>
      </c>
      <c r="E210" s="3" t="n"/>
      <c r="F210" s="3" t="n"/>
      <c r="G210" s="6" t="n"/>
      <c r="H210" s="7">
        <f>"Oi, pessoal da "&amp;B210&amp;"! Tudo bem? 🍔"&amp;CHAR(10)&amp;"Aqui é o "&amp;'Como usar'!$C$4&amp;". Ajudo hamburgueria a vender mais pelo próprio WhatsApp, sem taxa de app."&amp;CHAR(10)&amp;CHAR(10)&amp;IF(F210="","Fiz uma conta rápida: a cada 100 lanches de R$ 35 vendidos no iFood, uns R$ "&amp;ROUND(IF(G210="",35,G210)*100*0.152,-1)&amp;" ficam de taxa.","Fiz uma conta com o "&amp;F210&amp;" de vocês: a cada 100 vendidos no iFood, uns R$ "&amp;ROUND(IF(G210="",35,G210)*100*0.152,-1)&amp;"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"&amp;B210&amp;", de graça, pra vocês verem funcionando. Posso fazer?"</f>
        <v/>
      </c>
      <c r="I210" s="3" t="inlineStr">
        <is>
          <t>A contatar</t>
        </is>
      </c>
      <c r="J210" s="3" t="n"/>
    </row>
    <row r="211" ht="150" customHeight="1">
      <c r="A211" s="2" t="n">
        <v>210</v>
      </c>
      <c r="B211" s="3" t="inlineStr">
        <is>
          <t>Smash Burger</t>
        </is>
      </c>
      <c r="C211" s="4" t="inlineStr">
        <is>
          <t>São Paulo/SP</t>
        </is>
      </c>
      <c r="D211" s="5" t="inlineStr">
        <is>
          <t>abrir</t>
        </is>
      </c>
      <c r="E211" s="3" t="n"/>
      <c r="F211" s="3" t="n"/>
      <c r="G211" s="6" t="n"/>
      <c r="H211" s="7">
        <f>"Oi, pessoal da "&amp;B211&amp;"! Tudo bem? 🍔"&amp;CHAR(10)&amp;"Aqui é o "&amp;'Como usar'!$C$4&amp;". Ajudo hamburgueria a vender mais pelo próprio WhatsApp, sem taxa de app."&amp;CHAR(10)&amp;CHAR(10)&amp;IF(F211="","Fiz uma conta rápida: a cada 100 lanches de R$ 35 vendidos no iFood, uns R$ "&amp;ROUND(IF(G211="",35,G211)*100*0.152,-1)&amp;" ficam de taxa.","Fiz uma conta com o "&amp;F211&amp;" de vocês: a cada 100 vendidos no iFood, uns R$ "&amp;ROUND(IF(G211="",35,G211)*100*0.152,-1)&amp;"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"&amp;B211&amp;", de graça, pra vocês verem funcionando. Posso fazer?"</f>
        <v/>
      </c>
      <c r="I211" s="3" t="inlineStr">
        <is>
          <t>A contatar</t>
        </is>
      </c>
      <c r="J211" s="3" t="n"/>
    </row>
    <row r="212" ht="150" customHeight="1">
      <c r="A212" s="2" t="n">
        <v>211</v>
      </c>
      <c r="B212" s="3" t="inlineStr">
        <is>
          <t>Smash Burger O Artesao</t>
        </is>
      </c>
      <c r="C212" s="4" t="inlineStr">
        <is>
          <t>São Paulo/SP</t>
        </is>
      </c>
      <c r="D212" s="5" t="inlineStr">
        <is>
          <t>abrir</t>
        </is>
      </c>
      <c r="E212" s="3" t="n"/>
      <c r="F212" s="3" t="n"/>
      <c r="G212" s="6" t="n"/>
      <c r="H212" s="7">
        <f>"Oi, pessoal da "&amp;B212&amp;"! Tudo bem? 🍔"&amp;CHAR(10)&amp;"Aqui é o "&amp;'Como usar'!$C$4&amp;". Ajudo hamburgueria a vender mais pelo próprio WhatsApp, sem taxa de app."&amp;CHAR(10)&amp;CHAR(10)&amp;IF(F212="","Fiz uma conta rápida: a cada 100 lanches de R$ 35 vendidos no iFood, uns R$ "&amp;ROUND(IF(G212="",35,G212)*100*0.152,-1)&amp;" ficam de taxa.","Fiz uma conta com o "&amp;F212&amp;" de vocês: a cada 100 vendidos no iFood, uns R$ "&amp;ROUND(IF(G212="",35,G212)*100*0.152,-1)&amp;"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"&amp;B212&amp;", de graça, pra vocês verem funcionando. Posso fazer?"</f>
        <v/>
      </c>
      <c r="I212" s="3" t="inlineStr">
        <is>
          <t>A contatar</t>
        </is>
      </c>
      <c r="J212" s="3" t="n"/>
    </row>
    <row r="213" ht="150" customHeight="1">
      <c r="A213" s="2" t="n">
        <v>212</v>
      </c>
      <c r="B213" s="3" t="inlineStr">
        <is>
          <t>Smash Burguer Bela Vista</t>
        </is>
      </c>
      <c r="C213" s="4" t="inlineStr">
        <is>
          <t>São Paulo/SP</t>
        </is>
      </c>
      <c r="D213" s="5" t="inlineStr">
        <is>
          <t>abrir</t>
        </is>
      </c>
      <c r="E213" s="3" t="n"/>
      <c r="F213" s="3" t="n"/>
      <c r="G213" s="6" t="n"/>
      <c r="H213" s="7">
        <f>"Oi, pessoal da "&amp;B213&amp;"! Tudo bem? 🍔"&amp;CHAR(10)&amp;"Aqui é o "&amp;'Como usar'!$C$4&amp;". Ajudo hamburgueria a vender mais pelo próprio WhatsApp, sem taxa de app."&amp;CHAR(10)&amp;CHAR(10)&amp;IF(F213="","Fiz uma conta rápida: a cada 100 lanches de R$ 35 vendidos no iFood, uns R$ "&amp;ROUND(IF(G213="",35,G213)*100*0.152,-1)&amp;" ficam de taxa.","Fiz uma conta com o "&amp;F213&amp;" de vocês: a cada 100 vendidos no iFood, uns R$ "&amp;ROUND(IF(G213="",35,G213)*100*0.152,-1)&amp;"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"&amp;B213&amp;", de graça, pra vocês verem funcionando. Posso fazer?"</f>
        <v/>
      </c>
      <c r="I213" s="3" t="inlineStr">
        <is>
          <t>A contatar</t>
        </is>
      </c>
      <c r="J213" s="3" t="n"/>
    </row>
    <row r="214" ht="150" customHeight="1">
      <c r="A214" s="2" t="n">
        <v>213</v>
      </c>
      <c r="B214" s="3" t="inlineStr">
        <is>
          <t>The Route Burger</t>
        </is>
      </c>
      <c r="C214" s="4" t="inlineStr">
        <is>
          <t>São Paulo/SP</t>
        </is>
      </c>
      <c r="D214" s="5" t="inlineStr">
        <is>
          <t>abrir</t>
        </is>
      </c>
      <c r="E214" s="3" t="n"/>
      <c r="F214" s="3" t="n"/>
      <c r="G214" s="6" t="n"/>
      <c r="H214" s="7">
        <f>"Oi, pessoal da "&amp;B214&amp;"! Tudo bem? 🍔"&amp;CHAR(10)&amp;"Aqui é o "&amp;'Como usar'!$C$4&amp;". Ajudo hamburgueria a vender mais pelo próprio WhatsApp, sem taxa de app."&amp;CHAR(10)&amp;CHAR(10)&amp;IF(F214="","Fiz uma conta rápida: a cada 100 lanches de R$ 35 vendidos no iFood, uns R$ "&amp;ROUND(IF(G214="",35,G214)*100*0.152,-1)&amp;" ficam de taxa.","Fiz uma conta com o "&amp;F214&amp;" de vocês: a cada 100 vendidos no iFood, uns R$ "&amp;ROUND(IF(G214="",35,G214)*100*0.152,-1)&amp;"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"&amp;B214&amp;", de graça, pra vocês verem funcionando. Posso fazer?"</f>
        <v/>
      </c>
      <c r="I214" s="3" t="inlineStr">
        <is>
          <t>A contatar</t>
        </is>
      </c>
      <c r="J214" s="3" t="n"/>
    </row>
    <row r="215" ht="150" customHeight="1">
      <c r="A215" s="2" t="n">
        <v>214</v>
      </c>
      <c r="B215" s="3" t="inlineStr">
        <is>
          <t>Artesano Burguer</t>
        </is>
      </c>
      <c r="C215" s="4" t="inlineStr">
        <is>
          <t>Palmas/TO</t>
        </is>
      </c>
      <c r="D215" s="5" t="inlineStr">
        <is>
          <t>abrir</t>
        </is>
      </c>
      <c r="E215" s="3" t="n"/>
      <c r="F215" s="3" t="n"/>
      <c r="G215" s="6" t="n"/>
      <c r="H215" s="7">
        <f>"Oi, pessoal da "&amp;B215&amp;"! Tudo bem? 🍔"&amp;CHAR(10)&amp;"Aqui é o "&amp;'Como usar'!$C$4&amp;". Ajudo hamburgueria a vender mais pelo próprio WhatsApp, sem taxa de app."&amp;CHAR(10)&amp;CHAR(10)&amp;IF(F215="","Fiz uma conta rápida: a cada 100 lanches de R$ 35 vendidos no iFood, uns R$ "&amp;ROUND(IF(G215="",35,G215)*100*0.152,-1)&amp;" ficam de taxa.","Fiz uma conta com o "&amp;F215&amp;" de vocês: a cada 100 vendidos no iFood, uns R$ "&amp;ROUND(IF(G215="",35,G215)*100*0.152,-1)&amp;"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"&amp;B215&amp;", de graça, pra vocês verem funcionando. Posso fazer?"</f>
        <v/>
      </c>
      <c r="I215" s="3" t="inlineStr">
        <is>
          <t>A contatar</t>
        </is>
      </c>
      <c r="J215" s="3" t="n"/>
    </row>
    <row r="216" ht="150" customHeight="1">
      <c r="A216" s="2" t="n">
        <v>215</v>
      </c>
      <c r="B216" s="3" t="inlineStr">
        <is>
          <t>Barão de Paiva Hamburgueria</t>
        </is>
      </c>
      <c r="C216" s="4" t="inlineStr">
        <is>
          <t>Palmas/TO</t>
        </is>
      </c>
      <c r="D216" s="5" t="inlineStr">
        <is>
          <t>abrir</t>
        </is>
      </c>
      <c r="E216" s="3" t="n"/>
      <c r="F216" s="3" t="n"/>
      <c r="G216" s="6" t="n"/>
      <c r="H216" s="7">
        <f>"Oi, pessoal da "&amp;B216&amp;"! Tudo bem? 🍔"&amp;CHAR(10)&amp;"Aqui é o "&amp;'Como usar'!$C$4&amp;". Ajudo hamburgueria a vender mais pelo próprio WhatsApp, sem taxa de app."&amp;CHAR(10)&amp;CHAR(10)&amp;IF(F216="","Fiz uma conta rápida: a cada 100 lanches de R$ 35 vendidos no iFood, uns R$ "&amp;ROUND(IF(G216="",35,G216)*100*0.152,-1)&amp;" ficam de taxa.","Fiz uma conta com o "&amp;F216&amp;" de vocês: a cada 100 vendidos no iFood, uns R$ "&amp;ROUND(IF(G216="",35,G216)*100*0.152,-1)&amp;"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"&amp;B216&amp;", de graça, pra vocês verem funcionando. Posso fazer?"</f>
        <v/>
      </c>
      <c r="I216" s="3" t="inlineStr">
        <is>
          <t>A contatar</t>
        </is>
      </c>
      <c r="J216" s="3" t="n"/>
    </row>
    <row r="217" ht="150" customHeight="1">
      <c r="A217" s="2" t="n">
        <v>216</v>
      </c>
      <c r="B217" s="3" t="inlineStr">
        <is>
          <t>Hamburgueria Graciosa</t>
        </is>
      </c>
      <c r="C217" s="4" t="inlineStr">
        <is>
          <t>Palmas/TO</t>
        </is>
      </c>
      <c r="D217" s="5" t="inlineStr">
        <is>
          <t>abrir</t>
        </is>
      </c>
      <c r="E217" s="3" t="n"/>
      <c r="F217" s="3" t="n"/>
      <c r="G217" s="6" t="n"/>
      <c r="H217" s="7">
        <f>"Oi, pessoal da "&amp;B217&amp;"! Tudo bem? 🍔"&amp;CHAR(10)&amp;"Aqui é o "&amp;'Como usar'!$C$4&amp;". Ajudo hamburgueria a vender mais pelo próprio WhatsApp, sem taxa de app."&amp;CHAR(10)&amp;CHAR(10)&amp;IF(F217="","Fiz uma conta rápida: a cada 100 lanches de R$ 35 vendidos no iFood, uns R$ "&amp;ROUND(IF(G217="",35,G217)*100*0.152,-1)&amp;" ficam de taxa.","Fiz uma conta com o "&amp;F217&amp;" de vocês: a cada 100 vendidos no iFood, uns R$ "&amp;ROUND(IF(G217="",35,G217)*100*0.152,-1)&amp;"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"&amp;B217&amp;", de graça, pra vocês verem funcionando. Posso fazer?"</f>
        <v/>
      </c>
      <c r="I217" s="3" t="inlineStr">
        <is>
          <t>A contatar</t>
        </is>
      </c>
      <c r="J217" s="3" t="n"/>
    </row>
    <row r="218" ht="150" customHeight="1">
      <c r="A218" s="2" t="n">
        <v>217</v>
      </c>
      <c r="B218" s="3" t="inlineStr">
        <is>
          <t>La Casa Gourmet Hamburgueria</t>
        </is>
      </c>
      <c r="C218" s="4" t="inlineStr">
        <is>
          <t>Palmas/TO</t>
        </is>
      </c>
      <c r="D218" s="5" t="inlineStr">
        <is>
          <t>abrir</t>
        </is>
      </c>
      <c r="E218" s="3" t="n"/>
      <c r="F218" s="3" t="n"/>
      <c r="G218" s="6" t="n"/>
      <c r="H218" s="7">
        <f>"Oi, pessoal da "&amp;B218&amp;"! Tudo bem? 🍔"&amp;CHAR(10)&amp;"Aqui é o "&amp;'Como usar'!$C$4&amp;". Ajudo hamburgueria a vender mais pelo próprio WhatsApp, sem taxa de app."&amp;CHAR(10)&amp;CHAR(10)&amp;IF(F218="","Fiz uma conta rápida: a cada 100 lanches de R$ 35 vendidos no iFood, uns R$ "&amp;ROUND(IF(G218="",35,G218)*100*0.152,-1)&amp;" ficam de taxa.","Fiz uma conta com o "&amp;F218&amp;" de vocês: a cada 100 vendidos no iFood, uns R$ "&amp;ROUND(IF(G218="",35,G218)*100*0.152,-1)&amp;" ficam de taxa.")&amp;" E isso é só um lanche do cardápio."&amp;CHAR(10)&amp;CHAR(10)&amp;"Montei essa página pra outra hamburgueria 👆 O cliente escolhe, e o pedido cai pronto no WhatsApp da loja. Comissão zero."&amp;CHAR(10)&amp;CHAR(10)&amp;"Quero montar uma igual com a cara da "&amp;B218&amp;", de graça, pra vocês verem funcionando. Posso fazer?"</f>
        <v/>
      </c>
      <c r="I218" s="3" t="inlineStr">
        <is>
          <t>A contatar</t>
        </is>
      </c>
      <c r="J218" s="3" t="n"/>
    </row>
  </sheetData>
  <autoFilter ref="A1:J218"/>
  <dataValidations count="1">
    <dataValidation sqref="I2:I218" showDropDown="0" showInputMessage="0" showErrorMessage="0" allowBlank="1" type="list">
      <formula1>"A contatar,Mensagem enviada,Respondeu,Página enviada,Fechou,Não quer"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0" customWidth="1" min="2" max="2"/>
    <col width="80" customWidth="1" min="3" max="3"/>
  </cols>
  <sheetData>
    <row r="2">
      <c r="B2" s="8" t="inlineStr">
        <is>
          <t>Como usar (4 passos)</t>
        </is>
      </c>
    </row>
    <row r="4">
      <c r="B4" t="inlineStr">
        <is>
          <t>Seu nome →</t>
        </is>
      </c>
      <c r="C4" s="9" t="inlineStr">
        <is>
          <t>Daniel</t>
        </is>
      </c>
    </row>
    <row r="5">
      <c r="B5" s="10" t="inlineStr">
        <is>
          <t>1. Filtre sua cidade/UF na aba Leads.</t>
        </is>
      </c>
    </row>
    <row r="6">
      <c r="B6" s="10" t="inlineStr">
        <is>
          <t>2. Ache o WhatsApp: busque o Instagram da loja (link da bio). Cole na coluna E.</t>
        </is>
      </c>
    </row>
    <row r="7">
      <c r="B7" s="10" t="inlineStr">
        <is>
          <t>3. (Opcional, mas converte mais) Abra o link do iFood e anote o lanche principal e o preço — a mensagem se ajusta sozinha.</t>
        </is>
      </c>
    </row>
    <row r="8">
      <c r="B8" s="10" t="inlineStr">
        <is>
          <t>4. Copie a MENSAGEM PRONTA, mande junto com o PRINT do Mandacaru (sem link na 1ª mensagem) e mude o Status.</t>
        </is>
      </c>
    </row>
    <row r="9">
      <c r="B9" s="10" t="inlineStr">
        <is>
          <t>Regra: no máximo 10–15 mensagens novas por dia, enviadas à mão, pra não ter o WhatsApp bloqueado.</t>
        </is>
      </c>
    </row>
    <row r="10">
      <c r="B10" s="10" t="inlineStr">
        <is>
          <t>Conta usada: preço × 100 × 15,2% (menor taxa do iFood). Sem preço, usa lanche de R$ 35.</t>
        </is>
      </c>
    </row>
    <row r="13">
      <c r="B13" s="11" t="inlineStr">
        <is>
          <t>Seu funil</t>
        </is>
      </c>
    </row>
    <row r="14">
      <c r="B14" s="12" t="inlineStr">
        <is>
          <t>A contatar</t>
        </is>
      </c>
      <c r="C14" s="12">
        <f>COUNTIF(Leads!I2:I218,"A contatar")</f>
        <v/>
      </c>
    </row>
    <row r="15">
      <c r="B15" s="12" t="inlineStr">
        <is>
          <t>Mensagem enviada</t>
        </is>
      </c>
      <c r="C15" s="12">
        <f>COUNTIF(Leads!I2:I218,"Mensagem enviada")</f>
        <v/>
      </c>
    </row>
    <row r="16">
      <c r="B16" s="12" t="inlineStr">
        <is>
          <t>Respondeu</t>
        </is>
      </c>
      <c r="C16" s="12">
        <f>COUNTIF(Leads!I2:I218,"Respondeu")</f>
        <v/>
      </c>
    </row>
    <row r="17">
      <c r="B17" s="12" t="inlineStr">
        <is>
          <t>Página enviada</t>
        </is>
      </c>
      <c r="C17" s="12">
        <f>COUNTIF(Leads!I2:I218,"Página enviada")</f>
        <v/>
      </c>
    </row>
    <row r="18">
      <c r="B18" s="12" t="inlineStr">
        <is>
          <t>Fechou</t>
        </is>
      </c>
      <c r="C18" s="12">
        <f>COUNTIF(Leads!I2:I218,"Fechou")</f>
        <v/>
      </c>
    </row>
    <row r="19">
      <c r="B19" s="12" t="inlineStr">
        <is>
          <t>Não quer</t>
        </is>
      </c>
      <c r="C19" s="12">
        <f>COUNTIF(Leads!I2:I218,"Não quer")</f>
        <v/>
      </c>
    </row>
    <row r="20">
      <c r="B20" s="13" t="inlineStr">
        <is>
          <t>Receita (R$ 397 × fechados)</t>
        </is>
      </c>
      <c r="C20" s="14">
        <f>C18*397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5" t="inlineStr">
        <is>
          <t>Situação</t>
        </is>
      </c>
      <c r="B1" s="15" t="inlineStr">
        <is>
          <t>Texto</t>
        </is>
      </c>
    </row>
    <row r="2" ht="60" customHeight="1">
      <c r="A2" s="16" t="inlineStr">
        <is>
          <t>Ele respondeu "sim"</t>
        </is>
      </c>
      <c r="B2" s="17" t="inlineStr">
        <is>
          <t>Show! Olha o exemplo aqui pra você testar como cliente: https://mandacarusmash.netlify.app/
Em até 24h te mando a de vocês pronta. Só me confirma: qual é o lanche que mais sai?</t>
        </is>
      </c>
    </row>
    <row r="3" ht="60" customHeight="1">
      <c r="A3" s="16" t="inlineStr">
        <is>
          <t>Sem resposta — dia 2</t>
        </is>
      </c>
      <c r="B3" s="17" t="inlineStr">
        <is>
          <t>Oi! Só pra não se perder aqui no meio das mensagens 😅 [reenvie o print]
Se fizer sentido, monto a de vocês de graça. Se não for prioridade agora, tranquilo também.</t>
        </is>
      </c>
    </row>
    <row r="4" ht="45" customHeight="1">
      <c r="A4" s="16" t="inlineStr">
        <is>
          <t>Sem resposta — dia 5</t>
        </is>
      </c>
      <c r="B4" s="17" t="inlineStr">
        <is>
          <t>Uma dica que vale mesmo sem mim: coloquem um link de pedido direto na bio do Instagram e no Google, com "peça aqui sem taxa". Quem já conhece vocês prefere pedir direto.</t>
        </is>
      </c>
    </row>
    <row r="5" ht="45" customHeight="1">
      <c r="A5" s="16" t="inlineStr">
        <is>
          <t>Sem resposta — dia 10</t>
        </is>
      </c>
      <c r="B5" s="17" t="inlineStr">
        <is>
          <t>Última mensagem, prometo 🙂 Se um dia quiserem a página de pedido sem comissão, é só me chamar aqui. Sucesso pra vocês!</t>
        </is>
      </c>
    </row>
    <row r="6" ht="45" customHeight="1">
      <c r="A6" s="16" t="inlineStr">
        <is>
          <t>"Quanto custa?"</t>
        </is>
      </c>
      <c r="B6" s="17" t="inlineStr">
        <is>
          <t>R$ 397 por mês, e o 1º mês é por minha conta. Se em 30 dias não entrar nenhum pedido pela página, vocês não pagam nada.</t>
        </is>
      </c>
    </row>
    <row r="7" ht="45" customHeight="1">
      <c r="A7" s="16" t="inlineStr">
        <is>
          <t>"Já uso Anota AI / cardápio digital"</t>
        </is>
      </c>
      <c r="B7" s="17" t="inlineStr">
        <is>
          <t>Ótimo, a ferramenta vocês já têm. O que eu faço é levar cliente pra ela: Google, Instagram e campanha pra quem já comprou, com relatório de quanto economizaram de taxa.</t>
        </is>
      </c>
    </row>
    <row r="8" ht="45" customHeight="1">
      <c r="A8" s="16" t="inlineStr">
        <is>
          <t>"O iFood funciona bem"</t>
        </is>
      </c>
      <c r="B8" s="17" t="inlineStr">
        <is>
          <t>E não é pra largar! O iFood traz cliente novo. A ideia é que quem já conhece vocês peça direto, sem pagar taxa de novo pelo mesmo cliente.</t>
        </is>
      </c>
    </row>
    <row r="9" ht="45" customHeight="1">
      <c r="A9" s="16" t="inlineStr">
        <is>
          <t>"Vou pensar"</t>
        </is>
      </c>
      <c r="B9" s="17" t="inlineStr">
        <is>
          <t>Claro! Posso deixar a página no ar 7 dias pra vocês testarem? Se não vier pedido, a gente não fecha.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2026-09-30T13:11:05Z</dcterms:created>
  <dcterms:modified xsi:type="dcterms:W3CDTF">2026-09-30T13:11:05Z</dcterms:modified>
</cp:coreProperties>
</file>